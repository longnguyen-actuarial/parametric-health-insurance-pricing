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nh Long\Downloads\"/>
    </mc:Choice>
  </mc:AlternateContent>
  <xr:revisionPtr revIDLastSave="0" documentId="11_E88F81AB1064AC6E7330486342C64A1B125AEAF4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ADME" sheetId="1" r:id="rId1"/>
    <sheet name="Raw_Triggers" sheetId="2" r:id="rId2"/>
    <sheet name="Model_Input" sheetId="3" r:id="rId3"/>
    <sheet name="Economic_Market_Data" sheetId="4" r:id="rId4"/>
    <sheet name="NEW_WORLD_Financials" sheetId="5" r:id="rId5"/>
    <sheet name="Assumptions" sheetId="6" r:id="rId6"/>
    <sheet name="Correlation_PCA_Inpu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7" l="1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L21" i="3"/>
  <c r="G21" i="3"/>
  <c r="F21" i="3"/>
  <c r="E21" i="3"/>
  <c r="D21" i="3"/>
  <c r="C21" i="3"/>
  <c r="L20" i="3"/>
  <c r="G20" i="3"/>
  <c r="F20" i="3"/>
  <c r="E20" i="3"/>
  <c r="D20" i="3"/>
  <c r="C20" i="3"/>
  <c r="L19" i="3"/>
  <c r="G19" i="3"/>
  <c r="F19" i="3"/>
  <c r="E19" i="3"/>
  <c r="D19" i="3"/>
  <c r="C19" i="3"/>
  <c r="L18" i="3"/>
  <c r="G18" i="3"/>
  <c r="F18" i="3"/>
  <c r="E18" i="3"/>
  <c r="D18" i="3"/>
  <c r="C18" i="3"/>
  <c r="L17" i="3"/>
  <c r="G17" i="3"/>
  <c r="F17" i="3"/>
  <c r="E17" i="3"/>
  <c r="D17" i="3"/>
  <c r="C17" i="3"/>
  <c r="L16" i="3"/>
  <c r="G16" i="3"/>
  <c r="F16" i="3"/>
  <c r="E16" i="3"/>
  <c r="D16" i="3"/>
  <c r="C16" i="3"/>
  <c r="L15" i="3"/>
  <c r="G15" i="3"/>
  <c r="F15" i="3"/>
  <c r="E15" i="3"/>
  <c r="D15" i="3"/>
  <c r="C15" i="3"/>
  <c r="L14" i="3"/>
  <c r="G14" i="3"/>
  <c r="F14" i="3"/>
  <c r="E14" i="3"/>
  <c r="D14" i="3"/>
  <c r="C14" i="3"/>
  <c r="L13" i="3"/>
  <c r="G13" i="3"/>
  <c r="F13" i="3"/>
  <c r="E13" i="3"/>
  <c r="D13" i="3"/>
  <c r="C13" i="3"/>
  <c r="L12" i="3"/>
  <c r="G12" i="3"/>
  <c r="F12" i="3"/>
  <c r="E12" i="3"/>
  <c r="D12" i="3"/>
  <c r="C12" i="3"/>
  <c r="L11" i="3"/>
  <c r="G11" i="3"/>
  <c r="F11" i="3"/>
  <c r="E11" i="3"/>
  <c r="D11" i="3"/>
  <c r="C11" i="3"/>
  <c r="L10" i="3"/>
  <c r="G10" i="3"/>
  <c r="F10" i="3"/>
  <c r="E10" i="3"/>
  <c r="D10" i="3"/>
  <c r="C10" i="3"/>
  <c r="L9" i="3"/>
  <c r="G9" i="3"/>
  <c r="F9" i="3"/>
  <c r="E9" i="3"/>
  <c r="D9" i="3"/>
  <c r="C9" i="3"/>
  <c r="L8" i="3"/>
  <c r="G8" i="3"/>
  <c r="F8" i="3"/>
  <c r="E8" i="3"/>
  <c r="D8" i="3"/>
  <c r="C8" i="3"/>
  <c r="L7" i="3"/>
  <c r="G7" i="3"/>
  <c r="F7" i="3"/>
  <c r="E7" i="3"/>
  <c r="D7" i="3"/>
  <c r="C7" i="3"/>
  <c r="L6" i="3"/>
  <c r="G6" i="3"/>
  <c r="F6" i="3"/>
  <c r="E6" i="3"/>
  <c r="D6" i="3"/>
  <c r="C6" i="3"/>
  <c r="L5" i="3"/>
  <c r="G5" i="3"/>
  <c r="F5" i="3"/>
  <c r="E5" i="3"/>
  <c r="D5" i="3"/>
  <c r="C5" i="3"/>
  <c r="L4" i="3"/>
  <c r="G4" i="3"/>
  <c r="F4" i="3"/>
  <c r="E4" i="3"/>
  <c r="D4" i="3"/>
  <c r="C4" i="3"/>
  <c r="L3" i="3"/>
  <c r="G3" i="3"/>
  <c r="F3" i="3"/>
  <c r="E3" i="3"/>
  <c r="D3" i="3"/>
  <c r="C3" i="3"/>
  <c r="L2" i="3"/>
  <c r="G2" i="3"/>
  <c r="F2" i="3"/>
  <c r="E2" i="3"/>
  <c r="D2" i="3"/>
  <c r="C2" i="3"/>
  <c r="D13" i="7" l="1"/>
  <c r="D6" i="7"/>
  <c r="I20" i="3"/>
  <c r="E22" i="7" s="1"/>
  <c r="D4" i="7"/>
  <c r="I21" i="3"/>
  <c r="E23" i="7" s="1"/>
  <c r="H21" i="3"/>
  <c r="I13" i="3"/>
  <c r="E15" i="7" s="1"/>
  <c r="H13" i="3"/>
  <c r="I12" i="3"/>
  <c r="E14" i="7" s="1"/>
  <c r="H12" i="3"/>
  <c r="I11" i="3"/>
  <c r="E13" i="7" s="1"/>
  <c r="H11" i="3"/>
  <c r="I10" i="3"/>
  <c r="E12" i="7" s="1"/>
  <c r="H10" i="3"/>
  <c r="I8" i="3"/>
  <c r="E10" i="7" s="1"/>
  <c r="I7" i="3"/>
  <c r="E9" i="7" s="1"/>
  <c r="H7" i="3"/>
  <c r="H5" i="3"/>
  <c r="I2" i="3"/>
  <c r="E4" i="7" s="1"/>
  <c r="I4" i="3"/>
  <c r="E6" i="7" s="1"/>
  <c r="H4" i="3"/>
  <c r="D23" i="7"/>
  <c r="D21" i="7"/>
  <c r="I19" i="3"/>
  <c r="E21" i="7" s="1"/>
  <c r="H19" i="3"/>
  <c r="I17" i="3"/>
  <c r="E19" i="7" s="1"/>
  <c r="H17" i="3"/>
  <c r="I14" i="3"/>
  <c r="E16" i="7" s="1"/>
  <c r="H9" i="3"/>
  <c r="H8" i="3"/>
  <c r="H6" i="3"/>
  <c r="H18" i="3"/>
  <c r="H16" i="3"/>
  <c r="I15" i="3"/>
  <c r="E17" i="7" s="1"/>
  <c r="H14" i="3"/>
  <c r="I9" i="3"/>
  <c r="E11" i="7" s="1"/>
  <c r="H3" i="3"/>
  <c r="D11" i="7"/>
  <c r="D10" i="7"/>
  <c r="D8" i="7"/>
  <c r="D18" i="7"/>
  <c r="D14" i="7"/>
  <c r="D12" i="7"/>
  <c r="D9" i="7"/>
  <c r="D22" i="7"/>
  <c r="D20" i="7"/>
  <c r="H20" i="3"/>
  <c r="I18" i="3"/>
  <c r="E20" i="7" s="1"/>
  <c r="I16" i="3"/>
  <c r="E18" i="7" s="1"/>
  <c r="H15" i="3"/>
  <c r="I6" i="3"/>
  <c r="E8" i="7" s="1"/>
  <c r="I5" i="3"/>
  <c r="E7" i="7" s="1"/>
  <c r="I3" i="3"/>
  <c r="E5" i="7" s="1"/>
  <c r="H2" i="3"/>
  <c r="D17" i="7"/>
  <c r="D16" i="7"/>
  <c r="D15" i="7"/>
  <c r="D5" i="7"/>
  <c r="D19" i="7"/>
  <c r="D7" i="7"/>
  <c r="I5" i="7" l="1"/>
  <c r="J5" i="7"/>
  <c r="J21" i="3"/>
  <c r="C23" i="7"/>
  <c r="C15" i="7"/>
  <c r="J13" i="3"/>
  <c r="J12" i="3"/>
  <c r="C14" i="7"/>
  <c r="J11" i="3"/>
  <c r="C13" i="7"/>
  <c r="J10" i="3"/>
  <c r="C12" i="7"/>
  <c r="C9" i="7"/>
  <c r="J7" i="3"/>
  <c r="C7" i="7"/>
  <c r="J5" i="3"/>
  <c r="J4" i="3"/>
  <c r="C6" i="7"/>
  <c r="J19" i="3"/>
  <c r="C21" i="7"/>
  <c r="J17" i="3"/>
  <c r="C19" i="7"/>
  <c r="J9" i="3"/>
  <c r="C11" i="7"/>
  <c r="C10" i="7"/>
  <c r="J8" i="3"/>
  <c r="J6" i="3"/>
  <c r="C8" i="7"/>
  <c r="J18" i="3"/>
  <c r="C20" i="7"/>
  <c r="J16" i="3"/>
  <c r="C18" i="7"/>
  <c r="J14" i="3"/>
  <c r="C16" i="7"/>
  <c r="J3" i="3"/>
  <c r="C5" i="7"/>
  <c r="C22" i="7"/>
  <c r="J20" i="3"/>
  <c r="J15" i="3"/>
  <c r="C17" i="7"/>
  <c r="J2" i="3"/>
  <c r="C4" i="7"/>
  <c r="I6" i="7"/>
  <c r="J6" i="7"/>
  <c r="K21" i="3" l="1"/>
  <c r="M21" i="3"/>
  <c r="N21" i="3" s="1"/>
  <c r="K13" i="3"/>
  <c r="M13" i="3"/>
  <c r="N13" i="3" s="1"/>
  <c r="K12" i="3"/>
  <c r="M12" i="3"/>
  <c r="N12" i="3" s="1"/>
  <c r="K11" i="3"/>
  <c r="M11" i="3"/>
  <c r="N11" i="3" s="1"/>
  <c r="K10" i="3"/>
  <c r="M10" i="3"/>
  <c r="N10" i="3" s="1"/>
  <c r="K7" i="3"/>
  <c r="M7" i="3"/>
  <c r="N7" i="3" s="1"/>
  <c r="K5" i="3"/>
  <c r="M5" i="3"/>
  <c r="N5" i="3" s="1"/>
  <c r="K4" i="3"/>
  <c r="M4" i="3"/>
  <c r="N4" i="3" s="1"/>
  <c r="K19" i="3"/>
  <c r="M19" i="3"/>
  <c r="N19" i="3" s="1"/>
  <c r="K17" i="3"/>
  <c r="M17" i="3"/>
  <c r="N17" i="3" s="1"/>
  <c r="K9" i="3"/>
  <c r="M9" i="3"/>
  <c r="N9" i="3" s="1"/>
  <c r="M8" i="3"/>
  <c r="N8" i="3" s="1"/>
  <c r="K8" i="3"/>
  <c r="M6" i="3"/>
  <c r="N6" i="3" s="1"/>
  <c r="K6" i="3"/>
  <c r="K18" i="3"/>
  <c r="M18" i="3"/>
  <c r="N18" i="3" s="1"/>
  <c r="K16" i="3"/>
  <c r="M16" i="3"/>
  <c r="N16" i="3" s="1"/>
  <c r="K14" i="3"/>
  <c r="M14" i="3"/>
  <c r="N14" i="3" s="1"/>
  <c r="M3" i="3"/>
  <c r="N3" i="3" s="1"/>
  <c r="K3" i="3"/>
  <c r="M20" i="3"/>
  <c r="N20" i="3" s="1"/>
  <c r="K20" i="3"/>
  <c r="M15" i="3"/>
  <c r="N15" i="3" s="1"/>
  <c r="K15" i="3"/>
  <c r="K2" i="3"/>
  <c r="M2" i="3"/>
  <c r="N2" i="3" s="1"/>
  <c r="H6" i="7"/>
  <c r="I4" i="7"/>
  <c r="J4" i="7"/>
  <c r="H4" i="7"/>
  <c r="H5" i="7"/>
</calcChain>
</file>

<file path=xl/sharedStrings.xml><?xml version="1.0" encoding="utf-8"?>
<sst xmlns="http://schemas.openxmlformats.org/spreadsheetml/2006/main" count="228" uniqueCount="148">
  <si>
    <t>SOA 2021 Case Study - Cleaned Data Pack</t>
  </si>
  <si>
    <t>Purpose</t>
  </si>
  <si>
    <t>This workbook reorganizes the SOA 2021 Student Research Case Study data for the parametric health insurance project. It keeps the variables aligned with the intended methodology: background analysis, product market, assumptions, correlation matrix, PCA, Monte Carlo simulation, and premium/revenue analysis.</t>
  </si>
  <si>
    <t>Research workflow used in project</t>
  </si>
  <si>
    <t>1.1 Background analysis</t>
  </si>
  <si>
    <t>Use macroeconomic, population, education, healthcare spending, and company financial data.</t>
  </si>
  <si>
    <t>1.2 Product market</t>
  </si>
  <si>
    <t>Use population, healthcare spending per person, savings rate, and market-size assumptions.</t>
  </si>
  <si>
    <t>1.3 Assumptions</t>
  </si>
  <si>
    <t>Use Blood Pressure, Diabetes, and Cholesterol as trigger-related health indicators.</t>
  </si>
  <si>
    <t>1.4 Methodology</t>
  </si>
  <si>
    <t>Build correlation matrix, PCA input, and Monte Carlo-ready variables.</t>
  </si>
  <si>
    <t>2. Product design</t>
  </si>
  <si>
    <t>Parametric health insurance for governments/healthcare organizations.</t>
  </si>
  <si>
    <t>2.2 Design elements</t>
  </si>
  <si>
    <t>Triggers: Blood Pressure, Diabetes Prevalence, Cholesterol. Index: discrete health index. Payout: 1120 × excess over estimated trigger level.</t>
  </si>
  <si>
    <t>3.1 Premium and revenue analysis</t>
  </si>
  <si>
    <t>Premium based on equivalence principle: expected payout plus loading.</t>
  </si>
  <si>
    <t>3.2 Potential market analysis</t>
  </si>
  <si>
    <t>Use population and revenue assumptions to assess future opportunity.</t>
  </si>
  <si>
    <t>Key source workbook sheets</t>
  </si>
  <si>
    <t>Raw health triggers</t>
  </si>
  <si>
    <t>Triggers!A52:Q94</t>
  </si>
  <si>
    <t>Blood pressure, diabetes, cholesterol</t>
  </si>
  <si>
    <t>Market/economic data</t>
  </si>
  <si>
    <t>Economic and Population Data</t>
  </si>
  <si>
    <t>GDP, GNI, CPI, population, healthcare spending, savings rate, interest rates</t>
  </si>
  <si>
    <t>Company financials</t>
  </si>
  <si>
    <t>NEW.WORLD Income Statement / Balance Sheet</t>
  </si>
  <si>
    <t>Revenue, claims, expenses, reserves, equity</t>
  </si>
  <si>
    <t>Year</t>
  </si>
  <si>
    <t>Country</t>
  </si>
  <si>
    <t>Male Systolic</t>
  </si>
  <si>
    <t>Male Diastolic</t>
  </si>
  <si>
    <t>Female Systolic</t>
  </si>
  <si>
    <t>Female Diastolic</t>
  </si>
  <si>
    <t>Diabetes Male</t>
  </si>
  <si>
    <t>Diabetes Female</t>
  </si>
  <si>
    <t>Male HDL</t>
  </si>
  <si>
    <t>Male Non-HDL</t>
  </si>
  <si>
    <t>Female HDL</t>
  </si>
  <si>
    <t>Female Non-HDL</t>
  </si>
  <si>
    <t>Ambernϊa</t>
  </si>
  <si>
    <t>Palȍmϊnϊa</t>
  </si>
  <si>
    <t>Avg Systolic</t>
  </si>
  <si>
    <t>Avg Diastolic</t>
  </si>
  <si>
    <t>Avg Diabetes</t>
  </si>
  <si>
    <t>Avg HDL</t>
  </si>
  <si>
    <t>Avg Non-HDL</t>
  </si>
  <si>
    <t>BP Component</t>
  </si>
  <si>
    <t>Cholesterol Ratio</t>
  </si>
  <si>
    <t>Health Index (0-100)</t>
  </si>
  <si>
    <t>Discrete Health Index</t>
  </si>
  <si>
    <t>Trigger Threshold</t>
  </si>
  <si>
    <t>Excess over Estimate</t>
  </si>
  <si>
    <t>Payout = 1120 × Excess</t>
  </si>
  <si>
    <t>GDP per Person</t>
  </si>
  <si>
    <t>GNI per Person</t>
  </si>
  <si>
    <t>CPI (2016=100)</t>
  </si>
  <si>
    <t>Population</t>
  </si>
  <si>
    <t>Population Density</t>
  </si>
  <si>
    <t>Healthcare Spending per Person</t>
  </si>
  <si>
    <t>Household Savings Rate</t>
  </si>
  <si>
    <t>N/A</t>
  </si>
  <si>
    <t>Income Statement</t>
  </si>
  <si>
    <t>Balance Sheet</t>
  </si>
  <si>
    <t>For the Year-Ended December 31, 2020</t>
  </si>
  <si>
    <t>(ψ in millions)</t>
  </si>
  <si>
    <t>Revenue</t>
  </si>
  <si>
    <t>Assets</t>
  </si>
  <si>
    <t>Gross premiums written</t>
  </si>
  <si>
    <t>Cash</t>
  </si>
  <si>
    <t>Less reinsurance ceded</t>
  </si>
  <si>
    <t>Investments</t>
  </si>
  <si>
    <t>Accounts receivable</t>
  </si>
  <si>
    <t>Net premiums written</t>
  </si>
  <si>
    <t>Deferred policy acquisition expenses</t>
  </si>
  <si>
    <t>Increase in reserve for unearned premiums</t>
  </si>
  <si>
    <t>Property and equipment</t>
  </si>
  <si>
    <t>Intangible assets</t>
  </si>
  <si>
    <t>Net premiums earned</t>
  </si>
  <si>
    <t>Claims and Operating Expenses</t>
  </si>
  <si>
    <t>Net claims incurred</t>
  </si>
  <si>
    <t>Liabilities</t>
  </si>
  <si>
    <t>Net adjusting expense</t>
  </si>
  <si>
    <t>Accounts payable</t>
  </si>
  <si>
    <t>Commissions</t>
  </si>
  <si>
    <t>Unearned premium reserve</t>
  </si>
  <si>
    <t>Salaries and fees</t>
  </si>
  <si>
    <t>Provision for unpaid claims</t>
  </si>
  <si>
    <t>Amortization of property and equipment</t>
  </si>
  <si>
    <t>Amortization of intangible assets</t>
  </si>
  <si>
    <t>Other expenses</t>
  </si>
  <si>
    <t>Shareholders' Equity</t>
  </si>
  <si>
    <t>Liabilities and Shareholders' Equity</t>
  </si>
  <si>
    <t>Net Underwriting Income</t>
  </si>
  <si>
    <t>Other Income</t>
  </si>
  <si>
    <t>Investment income</t>
  </si>
  <si>
    <t>Miscellaneous</t>
  </si>
  <si>
    <t>Income Before Income Tax Expense</t>
  </si>
  <si>
    <t>Income Tax Expense</t>
  </si>
  <si>
    <t>Net Income for the Year</t>
  </si>
  <si>
    <t>Parametric Health Insurance - Model Assumptions</t>
  </si>
  <si>
    <t>Assumption</t>
  </si>
  <si>
    <t>Value</t>
  </si>
  <si>
    <t>Comment</t>
  </si>
  <si>
    <t>Target buyer</t>
  </si>
  <si>
    <t>Government / healthcare organization</t>
  </si>
  <si>
    <t>Product design</t>
  </si>
  <si>
    <t>Institutional product, not individual retail insurance</t>
  </si>
  <si>
    <t>Country focus</t>
  </si>
  <si>
    <t>Palȍmϊnϊa or Ambernϊa</t>
  </si>
  <si>
    <t>Market selection</t>
  </si>
  <si>
    <t>Both countries are kept in the cleaned data so the final choice can be justified.</t>
  </si>
  <si>
    <t>Trigger variables</t>
  </si>
  <si>
    <t>Blood Pressure, Diabetes, Cholesterol</t>
  </si>
  <si>
    <t>Trigger design</t>
  </si>
  <si>
    <t>Variables are measurable, health-related, and available in the SOA case workbook.</t>
  </si>
  <si>
    <t>Health index weights</t>
  </si>
  <si>
    <t>40% BP, 30% Diabetes, 30% Cholesterol</t>
  </si>
  <si>
    <t>Index construction</t>
  </si>
  <si>
    <t>Initial judgmental weights; PCA can be used as an alternative data-driven weighting method.</t>
  </si>
  <si>
    <t>Payout factor</t>
  </si>
  <si>
    <t>Payout structure</t>
  </si>
  <si>
    <t>Payout = 1120 × excess over estimated health index threshold.</t>
  </si>
  <si>
    <t>Trigger threshold</t>
  </si>
  <si>
    <t>Trigger event</t>
  </si>
  <si>
    <t>Threshold can be set by historical percentile, risk appetite, or affordability analysis. Current value is illustrative.</t>
  </si>
  <si>
    <t>Premium principle</t>
  </si>
  <si>
    <t>Equivalence principle</t>
  </si>
  <si>
    <t>Pricing</t>
  </si>
  <si>
    <t>Basic premium = expected payout plus loading.</t>
  </si>
  <si>
    <t>Monte Carlo use</t>
  </si>
  <si>
    <t>Simulate health index / payout distribution</t>
  </si>
  <si>
    <t>Risk assessment</t>
  </si>
  <si>
    <t>Use fitted/assumed distributions for trigger variables to estimate expected payout and tail risk.</t>
  </si>
  <si>
    <t>Main limitation</t>
  </si>
  <si>
    <t>Basis risk</t>
  </si>
  <si>
    <t>Risk discussion</t>
  </si>
  <si>
    <t>Payout may not perfectly match actual healthcare losses.</t>
  </si>
  <si>
    <t>Correlation and PCA Input</t>
  </si>
  <si>
    <t>Correlation Matrix</t>
  </si>
  <si>
    <t>PCA workflow</t>
  </si>
  <si>
    <t>1. Standardize BP, Diabetes, and Cholesterol variables.</t>
  </si>
  <si>
    <t>2. Compute covariance/correlation matrix.</t>
  </si>
  <si>
    <t>3. Extract first principal component as data-driven health index.</t>
  </si>
  <si>
    <t>4. Compare PCA-based index with judgmental weighted index.</t>
  </si>
  <si>
    <t>5. Select trigger threshold based on percentile/risk appetite.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</si>
</sst>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6"/>
      <color rgb="FF1F4E78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" fillId="2" borderId="0" xfId="0" applyFont="1" applyFill="1"/>
    <xf numFmtId="0" fontId="0" fillId="0" borderId="0" xfId="0"/>
    <xf numFmtId="0" fontId="2" fillId="2" borderId="0" xfId="0" applyFont="1" applyFill="1" applyAlignment="1">
      <alignment wrapText="1"/>
    </xf>
    <xf numFmtId="3" fontId="0" fillId="0" borderId="0" xfId="0" applyNumberFormat="1"/>
    <xf numFmtId="0" fontId="4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Health Index (0-100) by Year/Country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Country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Model_Input!$B$2:$B$21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F-45FD-A292-F1976B5F550C}"/>
            </c:ext>
          </c:extLst>
        </c:ser>
        <c:ser>
          <c:idx val="1"/>
          <c:order val="1"/>
          <c:tx>
            <c:v>Avg Systolic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Model_Input!$C$2:$C$21</c:f>
              <c:numCache>
                <c:formatCode>0.0000</c:formatCode>
                <c:ptCount val="20"/>
                <c:pt idx="0">
                  <c:v>125.85</c:v>
                </c:pt>
                <c:pt idx="1">
                  <c:v>129.35</c:v>
                </c:pt>
                <c:pt idx="2">
                  <c:v>125.6</c:v>
                </c:pt>
                <c:pt idx="3">
                  <c:v>129.30000000000001</c:v>
                </c:pt>
                <c:pt idx="4">
                  <c:v>125.25</c:v>
                </c:pt>
                <c:pt idx="5">
                  <c:v>129.30000000000001</c:v>
                </c:pt>
                <c:pt idx="6">
                  <c:v>124.94999999999999</c:v>
                </c:pt>
                <c:pt idx="7">
                  <c:v>129.19999999999999</c:v>
                </c:pt>
                <c:pt idx="8">
                  <c:v>124.65</c:v>
                </c:pt>
                <c:pt idx="9">
                  <c:v>129.15</c:v>
                </c:pt>
                <c:pt idx="10">
                  <c:v>124.3</c:v>
                </c:pt>
                <c:pt idx="11">
                  <c:v>129.1</c:v>
                </c:pt>
                <c:pt idx="12">
                  <c:v>124</c:v>
                </c:pt>
                <c:pt idx="13">
                  <c:v>129.05000000000001</c:v>
                </c:pt>
                <c:pt idx="14">
                  <c:v>123.7</c:v>
                </c:pt>
                <c:pt idx="15">
                  <c:v>129</c:v>
                </c:pt>
                <c:pt idx="16">
                  <c:v>123.35</c:v>
                </c:pt>
                <c:pt idx="17">
                  <c:v>128.94999999999999</c:v>
                </c:pt>
                <c:pt idx="18">
                  <c:v>123</c:v>
                </c:pt>
                <c:pt idx="19">
                  <c:v>128.80000000000001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F-45FD-A292-F1976B5F550C}"/>
            </c:ext>
          </c:extLst>
        </c:ser>
        <c:ser>
          <c:idx val="2"/>
          <c:order val="2"/>
          <c:tx>
            <c:v>Avg Diastolic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Model_Input!$D$2:$D$21</c:f>
              <c:numCache>
                <c:formatCode>0.0000</c:formatCode>
                <c:ptCount val="20"/>
                <c:pt idx="0">
                  <c:v>76.650000000000006</c:v>
                </c:pt>
                <c:pt idx="1">
                  <c:v>80.45</c:v>
                </c:pt>
                <c:pt idx="2">
                  <c:v>76.5</c:v>
                </c:pt>
                <c:pt idx="3">
                  <c:v>80.400000000000006</c:v>
                </c:pt>
                <c:pt idx="4">
                  <c:v>76.349999999999994</c:v>
                </c:pt>
                <c:pt idx="5">
                  <c:v>80.3</c:v>
                </c:pt>
                <c:pt idx="6">
                  <c:v>76.25</c:v>
                </c:pt>
                <c:pt idx="7">
                  <c:v>80.3</c:v>
                </c:pt>
                <c:pt idx="8">
                  <c:v>76.150000000000006</c:v>
                </c:pt>
                <c:pt idx="9">
                  <c:v>80.25</c:v>
                </c:pt>
                <c:pt idx="10">
                  <c:v>76</c:v>
                </c:pt>
                <c:pt idx="11">
                  <c:v>80.150000000000006</c:v>
                </c:pt>
                <c:pt idx="12">
                  <c:v>75.900000000000006</c:v>
                </c:pt>
                <c:pt idx="13">
                  <c:v>80.150000000000006</c:v>
                </c:pt>
                <c:pt idx="14">
                  <c:v>75.8</c:v>
                </c:pt>
                <c:pt idx="15">
                  <c:v>80.099999999999994</c:v>
                </c:pt>
                <c:pt idx="16">
                  <c:v>75.7</c:v>
                </c:pt>
                <c:pt idx="17">
                  <c:v>80</c:v>
                </c:pt>
                <c:pt idx="18">
                  <c:v>75.55</c:v>
                </c:pt>
                <c:pt idx="1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F-45FD-A292-F1976B5F550C}"/>
            </c:ext>
          </c:extLst>
        </c:ser>
        <c:ser>
          <c:idx val="3"/>
          <c:order val="3"/>
          <c:tx>
            <c:v>Avg Diabetes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Model_Input!$E$2:$E$21</c:f>
              <c:numCache>
                <c:formatCode>0.0000</c:formatCode>
                <c:ptCount val="20"/>
                <c:pt idx="0">
                  <c:v>5.1650000000000001E-2</c:v>
                </c:pt>
                <c:pt idx="1">
                  <c:v>7.0750000000000007E-2</c:v>
                </c:pt>
                <c:pt idx="2">
                  <c:v>5.16E-2</c:v>
                </c:pt>
                <c:pt idx="3">
                  <c:v>7.195E-2</c:v>
                </c:pt>
                <c:pt idx="4">
                  <c:v>5.1500000000000004E-2</c:v>
                </c:pt>
                <c:pt idx="5">
                  <c:v>7.3200000000000001E-2</c:v>
                </c:pt>
                <c:pt idx="6">
                  <c:v>5.1449999999999996E-2</c:v>
                </c:pt>
                <c:pt idx="7">
                  <c:v>7.4399999999999994E-2</c:v>
                </c:pt>
                <c:pt idx="8">
                  <c:v>5.1299999999999998E-2</c:v>
                </c:pt>
                <c:pt idx="9">
                  <c:v>7.5550000000000006E-2</c:v>
                </c:pt>
                <c:pt idx="10">
                  <c:v>5.1249999999999997E-2</c:v>
                </c:pt>
                <c:pt idx="11">
                  <c:v>7.6749999999999999E-2</c:v>
                </c:pt>
                <c:pt idx="12">
                  <c:v>5.1199999999999996E-2</c:v>
                </c:pt>
                <c:pt idx="13">
                  <c:v>7.7950000000000005E-2</c:v>
                </c:pt>
                <c:pt idx="14">
                  <c:v>5.1150000000000001E-2</c:v>
                </c:pt>
                <c:pt idx="15">
                  <c:v>7.9149999999999998E-2</c:v>
                </c:pt>
                <c:pt idx="16">
                  <c:v>5.1200000000000002E-2</c:v>
                </c:pt>
                <c:pt idx="17">
                  <c:v>8.0399999999999999E-2</c:v>
                </c:pt>
                <c:pt idx="18">
                  <c:v>5.1299999999999998E-2</c:v>
                </c:pt>
                <c:pt idx="19">
                  <c:v>8.165E-2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4F-45FD-A292-F1976B5F550C}"/>
            </c:ext>
          </c:extLst>
        </c:ser>
        <c:ser>
          <c:idx val="4"/>
          <c:order val="4"/>
          <c:tx>
            <c:v>Avg HDL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Model_Input!$F$2:$F$21</c:f>
              <c:numCache>
                <c:formatCode>0.0000</c:formatCode>
                <c:ptCount val="20"/>
                <c:pt idx="0">
                  <c:v>1.4380858674688828</c:v>
                </c:pt>
                <c:pt idx="1">
                  <c:v>1.3700429992863292</c:v>
                </c:pt>
                <c:pt idx="2">
                  <c:v>1.4412278103475735</c:v>
                </c:pt>
                <c:pt idx="3">
                  <c:v>1.3712895014896285</c:v>
                </c:pt>
                <c:pt idx="4">
                  <c:v>1.4448355210893986</c:v>
                </c:pt>
                <c:pt idx="5">
                  <c:v>1.3725198541604207</c:v>
                </c:pt>
                <c:pt idx="6">
                  <c:v>1.4488440291358504</c:v>
                </c:pt>
                <c:pt idx="7">
                  <c:v>1.3737214177008297</c:v>
                </c:pt>
                <c:pt idx="8">
                  <c:v>1.4530407580443736</c:v>
                </c:pt>
                <c:pt idx="9">
                  <c:v>1.3748887547902213</c:v>
                </c:pt>
                <c:pt idx="10">
                  <c:v>1.4573599857590764</c:v>
                </c:pt>
                <c:pt idx="11">
                  <c:v>1.3760179746968921</c:v>
                </c:pt>
                <c:pt idx="12">
                  <c:v>1.4617643048617701</c:v>
                </c:pt>
                <c:pt idx="13">
                  <c:v>1.3770804435323498</c:v>
                </c:pt>
                <c:pt idx="14">
                  <c:v>1.4663183271554887</c:v>
                </c:pt>
                <c:pt idx="15">
                  <c:v>1.3781881439518664</c:v>
                </c:pt>
                <c:pt idx="16">
                  <c:v>1.4710479034507586</c:v>
                </c:pt>
                <c:pt idx="17">
                  <c:v>1.3794247501711685</c:v>
                </c:pt>
                <c:pt idx="18">
                  <c:v>1.475841494298755</c:v>
                </c:pt>
                <c:pt idx="19">
                  <c:v>1.3807645790896079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4F-45FD-A292-F1976B5F550C}"/>
            </c:ext>
          </c:extLst>
        </c:ser>
        <c:ser>
          <c:idx val="5"/>
          <c:order val="5"/>
          <c:tx>
            <c:v>Avg Non-HDL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Model_Input!$G$2:$G$21</c:f>
              <c:numCache>
                <c:formatCode>0.0000</c:formatCode>
                <c:ptCount val="20"/>
                <c:pt idx="0">
                  <c:v>3.6014591631804906</c:v>
                </c:pt>
                <c:pt idx="1">
                  <c:v>3.7346292971992172</c:v>
                </c:pt>
                <c:pt idx="2">
                  <c:v>3.5682938558342476</c:v>
                </c:pt>
                <c:pt idx="3">
                  <c:v>3.7177436645890367</c:v>
                </c:pt>
                <c:pt idx="4">
                  <c:v>3.5356732675210578</c:v>
                </c:pt>
                <c:pt idx="5">
                  <c:v>3.7003537284966206</c:v>
                </c:pt>
                <c:pt idx="6">
                  <c:v>3.5029372373212682</c:v>
                </c:pt>
                <c:pt idx="7">
                  <c:v>3.6821126856653548</c:v>
                </c:pt>
                <c:pt idx="8">
                  <c:v>3.4696913773275186</c:v>
                </c:pt>
                <c:pt idx="9">
                  <c:v>3.6628747367303713</c:v>
                </c:pt>
                <c:pt idx="10">
                  <c:v>3.4359878943599238</c:v>
                </c:pt>
                <c:pt idx="11">
                  <c:v>3.6426964410194884</c:v>
                </c:pt>
                <c:pt idx="12">
                  <c:v>3.4017634169638828</c:v>
                </c:pt>
                <c:pt idx="13">
                  <c:v>3.6216355438030003</c:v>
                </c:pt>
                <c:pt idx="14">
                  <c:v>3.367469285226437</c:v>
                </c:pt>
                <c:pt idx="15">
                  <c:v>3.5998373974892237</c:v>
                </c:pt>
                <c:pt idx="16">
                  <c:v>3.333111901588945</c:v>
                </c:pt>
                <c:pt idx="17">
                  <c:v>3.5775833739587601</c:v>
                </c:pt>
                <c:pt idx="18">
                  <c:v>3.2985537345459717</c:v>
                </c:pt>
                <c:pt idx="19">
                  <c:v>3.5550242583548473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4F-45FD-A292-F1976B5F550C}"/>
            </c:ext>
          </c:extLst>
        </c:ser>
        <c:ser>
          <c:idx val="6"/>
          <c:order val="6"/>
          <c:tx>
            <c:v>BP Component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Model_Input!$H$2:$H$21</c:f>
              <c:numCache>
                <c:formatCode>0.0000</c:formatCode>
                <c:ptCount val="20"/>
                <c:pt idx="0">
                  <c:v>164.17500000000001</c:v>
                </c:pt>
                <c:pt idx="1">
                  <c:v>169.57499999999999</c:v>
                </c:pt>
                <c:pt idx="2">
                  <c:v>163.85</c:v>
                </c:pt>
                <c:pt idx="3">
                  <c:v>169.5</c:v>
                </c:pt>
                <c:pt idx="4">
                  <c:v>163.42500000000001</c:v>
                </c:pt>
                <c:pt idx="5">
                  <c:v>169.45000000000002</c:v>
                </c:pt>
                <c:pt idx="6">
                  <c:v>163.07499999999999</c:v>
                </c:pt>
                <c:pt idx="7">
                  <c:v>169.35</c:v>
                </c:pt>
                <c:pt idx="8">
                  <c:v>162.72500000000002</c:v>
                </c:pt>
                <c:pt idx="9">
                  <c:v>169.27500000000001</c:v>
                </c:pt>
                <c:pt idx="10">
                  <c:v>162.30000000000001</c:v>
                </c:pt>
                <c:pt idx="11">
                  <c:v>169.17500000000001</c:v>
                </c:pt>
                <c:pt idx="12">
                  <c:v>161.94999999999999</c:v>
                </c:pt>
                <c:pt idx="13">
                  <c:v>169.125</c:v>
                </c:pt>
                <c:pt idx="14">
                  <c:v>161.6</c:v>
                </c:pt>
                <c:pt idx="15">
                  <c:v>169.05</c:v>
                </c:pt>
                <c:pt idx="16">
                  <c:v>161.19999999999999</c:v>
                </c:pt>
                <c:pt idx="17">
                  <c:v>168.95</c:v>
                </c:pt>
                <c:pt idx="18">
                  <c:v>160.77500000000001</c:v>
                </c:pt>
                <c:pt idx="19">
                  <c:v>168.8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4F-45FD-A292-F1976B5F550C}"/>
            </c:ext>
          </c:extLst>
        </c:ser>
        <c:ser>
          <c:idx val="7"/>
          <c:order val="7"/>
          <c:tx>
            <c:v>Cholesterol Ratio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Model_Input!$I$2:$I$21</c:f>
              <c:numCache>
                <c:formatCode>0.0000</c:formatCode>
                <c:ptCount val="20"/>
                <c:pt idx="0">
                  <c:v>2.5043422264619526</c:v>
                </c:pt>
                <c:pt idx="1">
                  <c:v>2.7259212295852229</c:v>
                </c:pt>
                <c:pt idx="2">
                  <c:v>2.4758708028078509</c:v>
                </c:pt>
                <c:pt idx="3">
                  <c:v>2.7111296779786187</c:v>
                </c:pt>
                <c:pt idx="4">
                  <c:v>2.4471112565499347</c:v>
                </c:pt>
                <c:pt idx="5">
                  <c:v>2.6960292904179162</c:v>
                </c:pt>
                <c:pt idx="6">
                  <c:v>2.4177462631437026</c:v>
                </c:pt>
                <c:pt idx="7">
                  <c:v>2.6803925732103919</c:v>
                </c:pt>
                <c:pt idx="8">
                  <c:v>2.3878830363969459</c:v>
                </c:pt>
                <c:pt idx="9">
                  <c:v>2.6641244420456749</c:v>
                </c:pt>
                <c:pt idx="10">
                  <c:v>2.3576795904481109</c:v>
                </c:pt>
                <c:pt idx="11">
                  <c:v>2.6472738786874479</c:v>
                </c:pt>
                <c:pt idx="12">
                  <c:v>2.3271627345460226</c:v>
                </c:pt>
                <c:pt idx="13">
                  <c:v>2.6299375325621073</c:v>
                </c:pt>
                <c:pt idx="14">
                  <c:v>2.2965472250210439</c:v>
                </c:pt>
                <c:pt idx="15">
                  <c:v>2.6120072308610349</c:v>
                </c:pt>
                <c:pt idx="16">
                  <c:v>2.2658078596694158</c:v>
                </c:pt>
                <c:pt idx="17">
                  <c:v>2.5935328284597103</c:v>
                </c:pt>
                <c:pt idx="18">
                  <c:v>2.2350325202865209</c:v>
                </c:pt>
                <c:pt idx="19">
                  <c:v>2.5746780531542992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4F-45FD-A292-F1976B5F550C}"/>
            </c:ext>
          </c:extLst>
        </c:ser>
        <c:ser>
          <c:idx val="8"/>
          <c:order val="8"/>
          <c:tx>
            <c:v>Health Index (0-100)</c:v>
          </c:tx>
          <c:cat>
            <c:numRef>
              <c:f>Model_Input!$A$2:$A$21</c:f>
              <c:numCache>
                <c:formatCode>General</c:formatCode>
                <c:ptCount val="20"/>
                <c:pt idx="0">
                  <c:v>2011</c:v>
                </c:pt>
                <c:pt idx="1">
                  <c:v>2011</c:v>
                </c:pt>
                <c:pt idx="2">
                  <c:v>2012</c:v>
                </c:pt>
                <c:pt idx="3">
                  <c:v>2012</c:v>
                </c:pt>
                <c:pt idx="4">
                  <c:v>2013</c:v>
                </c:pt>
                <c:pt idx="5">
                  <c:v>2013</c:v>
                </c:pt>
                <c:pt idx="6">
                  <c:v>2014</c:v>
                </c:pt>
                <c:pt idx="7">
                  <c:v>2014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2017</c:v>
                </c:pt>
                <c:pt idx="13">
                  <c:v>2017</c:v>
                </c:pt>
                <c:pt idx="14">
                  <c:v>2018</c:v>
                </c:pt>
                <c:pt idx="15">
                  <c:v>2018</c:v>
                </c:pt>
                <c:pt idx="16">
                  <c:v>2019</c:v>
                </c:pt>
                <c:pt idx="17">
                  <c:v>2019</c:v>
                </c:pt>
                <c:pt idx="18">
                  <c:v>2020</c:v>
                </c:pt>
                <c:pt idx="19">
                  <c:v>2020</c:v>
                </c:pt>
              </c:numCache>
            </c:numRef>
          </c:cat>
          <c:val>
            <c:numRef>
              <c:f>Model_Input!$J$2:$J$21</c:f>
              <c:numCache>
                <c:formatCode>0.0000</c:formatCode>
                <c:ptCount val="20"/>
                <c:pt idx="0">
                  <c:v>32.404847436138127</c:v>
                </c:pt>
                <c:pt idx="1">
                  <c:v>89.278688524590166</c:v>
                </c:pt>
                <c:pt idx="2">
                  <c:v>29.138401805401678</c:v>
                </c:pt>
                <c:pt idx="3">
                  <c:v>89.214141617863277</c:v>
                </c:pt>
                <c:pt idx="4">
                  <c:v>25.350622168735846</c:v>
                </c:pt>
                <c:pt idx="5">
                  <c:v>89.293537310719273</c:v>
                </c:pt>
                <c:pt idx="6">
                  <c:v>21.915930866680586</c:v>
                </c:pt>
                <c:pt idx="7">
                  <c:v>89.063702886953237</c:v>
                </c:pt>
                <c:pt idx="8">
                  <c:v>18.352430051677288</c:v>
                </c:pt>
                <c:pt idx="9">
                  <c:v>88.859736488359076</c:v>
                </c:pt>
                <c:pt idx="10">
                  <c:v>14.525588764796289</c:v>
                </c:pt>
                <c:pt idx="11">
                  <c:v>88.55571949768688</c:v>
                </c:pt>
                <c:pt idx="12">
                  <c:v>11.020502943125681</c:v>
                </c:pt>
                <c:pt idx="13">
                  <c:v>88.449287277042998</c:v>
                </c:pt>
                <c:pt idx="14">
                  <c:v>7.5093880386292042</c:v>
                </c:pt>
                <c:pt idx="15">
                  <c:v>88.192919900522512</c:v>
                </c:pt>
                <c:pt idx="16">
                  <c:v>3.8617917811513705</c:v>
                </c:pt>
                <c:pt idx="17">
                  <c:v>87.838844509326805</c:v>
                </c:pt>
                <c:pt idx="18">
                  <c:v>0.14754098360655479</c:v>
                </c:pt>
                <c:pt idx="19">
                  <c:v>87.234250414924645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4F-45FD-A292-F1976B5F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TriggersTable" displayName="RawTriggersTable" ref="A1:L21">
  <tableColumns count="12">
    <tableColumn id="1" xr3:uid="{00000000-0010-0000-0000-000001000000}" name="Year"/>
    <tableColumn id="2" xr3:uid="{00000000-0010-0000-0000-000002000000}" name="Country"/>
    <tableColumn id="3" xr3:uid="{00000000-0010-0000-0000-000003000000}" name="Male Systolic"/>
    <tableColumn id="4" xr3:uid="{00000000-0010-0000-0000-000004000000}" name="Male Diastolic"/>
    <tableColumn id="5" xr3:uid="{00000000-0010-0000-0000-000005000000}" name="Female Systolic"/>
    <tableColumn id="6" xr3:uid="{00000000-0010-0000-0000-000006000000}" name="Female Diastolic"/>
    <tableColumn id="7" xr3:uid="{00000000-0010-0000-0000-000007000000}" name="Diabetes Male"/>
    <tableColumn id="8" xr3:uid="{00000000-0010-0000-0000-000008000000}" name="Diabetes Female"/>
    <tableColumn id="9" xr3:uid="{00000000-0010-0000-0000-000009000000}" name="Male HDL"/>
    <tableColumn id="10" xr3:uid="{00000000-0010-0000-0000-00000A000000}" name="Male Non-HDL"/>
    <tableColumn id="11" xr3:uid="{00000000-0010-0000-0000-00000B000000}" name="Female HDL"/>
    <tableColumn id="12" xr3:uid="{00000000-0010-0000-0000-00000C000000}" name="Female Non-HD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InputTable" displayName="ModelInputTable" ref="A1:N21">
  <tableColumns count="14">
    <tableColumn id="1" xr3:uid="{00000000-0010-0000-0100-000001000000}" name="Year"/>
    <tableColumn id="2" xr3:uid="{00000000-0010-0000-0100-000002000000}" name="Country"/>
    <tableColumn id="3" xr3:uid="{00000000-0010-0000-0100-000003000000}" name="Avg Systolic"/>
    <tableColumn id="4" xr3:uid="{00000000-0010-0000-0100-000004000000}" name="Avg Diastolic"/>
    <tableColumn id="5" xr3:uid="{00000000-0010-0000-0100-000005000000}" name="Avg Diabetes"/>
    <tableColumn id="6" xr3:uid="{00000000-0010-0000-0100-000006000000}" name="Avg HDL"/>
    <tableColumn id="7" xr3:uid="{00000000-0010-0000-0100-000007000000}" name="Avg Non-HDL"/>
    <tableColumn id="8" xr3:uid="{00000000-0010-0000-0100-000008000000}" name="BP Component"/>
    <tableColumn id="9" xr3:uid="{00000000-0010-0000-0100-000009000000}" name="Cholesterol Ratio"/>
    <tableColumn id="10" xr3:uid="{00000000-0010-0000-0100-00000A000000}" name="Health Index (0-100)"/>
    <tableColumn id="11" xr3:uid="{00000000-0010-0000-0100-00000B000000}" name="Discrete Health Index"/>
    <tableColumn id="12" xr3:uid="{00000000-0010-0000-0100-00000C000000}" name="Trigger Threshold"/>
    <tableColumn id="13" xr3:uid="{00000000-0010-0000-0100-00000D000000}" name="Excess over Estimate"/>
    <tableColumn id="14" xr3:uid="{00000000-0010-0000-0100-00000E000000}" name="Payout = 1120 × Exc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MarketTable" displayName="EconomicMarketTable" ref="A1:I21">
  <tableColumns count="9">
    <tableColumn id="1" xr3:uid="{00000000-0010-0000-0200-000001000000}" name="Year"/>
    <tableColumn id="2" xr3:uid="{00000000-0010-0000-0200-000002000000}" name="Country"/>
    <tableColumn id="3" xr3:uid="{00000000-0010-0000-0200-000003000000}" name="GDP per Person"/>
    <tableColumn id="4" xr3:uid="{00000000-0010-0000-0200-000004000000}" name="GNI per Person"/>
    <tableColumn id="5" xr3:uid="{00000000-0010-0000-0200-000005000000}" name="CPI (2016=100)"/>
    <tableColumn id="6" xr3:uid="{00000000-0010-0000-0200-000006000000}" name="Population"/>
    <tableColumn id="7" xr3:uid="{00000000-0010-0000-0200-000007000000}" name="Population Density"/>
    <tableColumn id="8" xr3:uid="{00000000-0010-0000-0200-000008000000}" name="Healthcare Spending per Person"/>
    <tableColumn id="9" xr3:uid="{00000000-0010-0000-0200-000009000000}" name="Household Savings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3.8"/>
  <sheetData>
    <row r="1" spans="1:5" ht="21">
      <c r="A1" s="8" t="s">
        <v>0</v>
      </c>
      <c r="B1" s="9"/>
      <c r="C1" s="9"/>
      <c r="D1" s="9"/>
      <c r="E1" s="9"/>
    </row>
    <row r="3" spans="1:5">
      <c r="A3" s="1" t="s">
        <v>1</v>
      </c>
    </row>
    <row r="4" spans="1:5">
      <c r="A4" t="s">
        <v>2</v>
      </c>
    </row>
    <row r="8" spans="1:5">
      <c r="A8" s="10" t="s">
        <v>3</v>
      </c>
      <c r="B8" s="9"/>
      <c r="C8" s="9"/>
      <c r="D8" s="9"/>
      <c r="E8" s="9"/>
    </row>
    <row r="9" spans="1:5">
      <c r="A9" t="s">
        <v>4</v>
      </c>
      <c r="B9" t="s">
        <v>5</v>
      </c>
    </row>
    <row r="10" spans="1:5">
      <c r="A10" t="s">
        <v>6</v>
      </c>
      <c r="B10" t="s">
        <v>7</v>
      </c>
    </row>
    <row r="11" spans="1:5">
      <c r="A11" t="s">
        <v>8</v>
      </c>
      <c r="B11" t="s">
        <v>9</v>
      </c>
    </row>
    <row r="12" spans="1:5">
      <c r="A12" t="s">
        <v>10</v>
      </c>
      <c r="B12" t="s">
        <v>11</v>
      </c>
    </row>
    <row r="13" spans="1:5">
      <c r="A13" t="s">
        <v>12</v>
      </c>
      <c r="B13" t="s">
        <v>13</v>
      </c>
    </row>
    <row r="14" spans="1:5">
      <c r="A14" t="s">
        <v>14</v>
      </c>
      <c r="B14" t="s">
        <v>15</v>
      </c>
    </row>
    <row r="15" spans="1:5">
      <c r="A15" t="s">
        <v>16</v>
      </c>
      <c r="B15" t="s">
        <v>17</v>
      </c>
    </row>
    <row r="16" spans="1:5">
      <c r="A16" t="s">
        <v>18</v>
      </c>
      <c r="B16" t="s">
        <v>19</v>
      </c>
    </row>
    <row r="18" spans="1:3" ht="55.2">
      <c r="A18" s="1" t="s">
        <v>20</v>
      </c>
    </row>
    <row r="19" spans="1:3">
      <c r="A19" t="s">
        <v>21</v>
      </c>
      <c r="B19" t="s">
        <v>22</v>
      </c>
      <c r="C19" t="s">
        <v>23</v>
      </c>
    </row>
    <row r="20" spans="1:3">
      <c r="A20" t="s">
        <v>24</v>
      </c>
      <c r="B20" t="s">
        <v>25</v>
      </c>
      <c r="C20" t="s">
        <v>26</v>
      </c>
    </row>
    <row r="21" spans="1:3">
      <c r="A21" t="s">
        <v>27</v>
      </c>
      <c r="B21" t="s">
        <v>28</v>
      </c>
      <c r="C21" t="s">
        <v>29</v>
      </c>
    </row>
  </sheetData>
  <mergeCells count="2">
    <mergeCell ref="A1:E1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3.8"/>
  <cols>
    <col min="1" max="1" width="4.19921875" customWidth="1"/>
    <col min="2" max="2" width="8" customWidth="1"/>
    <col min="3" max="3" width="10.5" customWidth="1"/>
    <col min="4" max="4" width="11.3984375" customWidth="1"/>
    <col min="5" max="5" width="12.09765625" customWidth="1"/>
    <col min="6" max="6" width="13" customWidth="1"/>
    <col min="7" max="7" width="11.5" customWidth="1"/>
    <col min="8" max="8" width="13.09765625" customWidth="1"/>
    <col min="9" max="9" width="10.19921875" customWidth="1"/>
    <col min="10" max="10" width="11.59765625" customWidth="1"/>
    <col min="11" max="11" width="10.19921875" customWidth="1"/>
    <col min="12" max="12" width="13.19921875" customWidth="1"/>
  </cols>
  <sheetData>
    <row r="1" spans="1:12" ht="27.6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>
      <c r="A2">
        <v>2011</v>
      </c>
      <c r="B2" t="s">
        <v>42</v>
      </c>
      <c r="C2" s="3">
        <v>130.4</v>
      </c>
      <c r="D2" s="3">
        <v>78.7</v>
      </c>
      <c r="E2" s="3">
        <v>121.3</v>
      </c>
      <c r="F2" s="3">
        <v>74.599999999999994</v>
      </c>
      <c r="G2" s="3">
        <v>6.3E-2</v>
      </c>
      <c r="H2" s="3">
        <v>4.0300000000000002E-2</v>
      </c>
      <c r="I2" s="3">
        <v>1.2785929059702628</v>
      </c>
      <c r="J2" s="3">
        <v>3.7332371496580143</v>
      </c>
      <c r="K2" s="3">
        <v>1.5975788289675028</v>
      </c>
      <c r="L2" s="3">
        <v>3.4696811767029665</v>
      </c>
    </row>
    <row r="3" spans="1:12">
      <c r="A3">
        <v>2011</v>
      </c>
      <c r="B3" t="s">
        <v>43</v>
      </c>
      <c r="C3" s="3">
        <v>132.19999999999999</v>
      </c>
      <c r="D3" s="3">
        <v>81.7</v>
      </c>
      <c r="E3" s="3">
        <v>126.5</v>
      </c>
      <c r="F3" s="3">
        <v>79.2</v>
      </c>
      <c r="G3" s="3">
        <v>7.1499999999999994E-2</v>
      </c>
      <c r="H3" s="3">
        <v>7.0000000000000007E-2</v>
      </c>
      <c r="I3" s="3">
        <v>1.2685611715728184</v>
      </c>
      <c r="J3" s="3">
        <v>3.8331039874645456</v>
      </c>
      <c r="K3" s="3">
        <v>1.47152482699984</v>
      </c>
      <c r="L3" s="3">
        <v>3.6361546069338884</v>
      </c>
    </row>
    <row r="4" spans="1:12">
      <c r="A4">
        <v>2012</v>
      </c>
      <c r="B4" t="s">
        <v>42</v>
      </c>
      <c r="C4" s="3">
        <v>130.19999999999999</v>
      </c>
      <c r="D4" s="3">
        <v>78.5</v>
      </c>
      <c r="E4" s="3">
        <v>121</v>
      </c>
      <c r="F4" s="3">
        <v>74.5</v>
      </c>
      <c r="G4" s="3">
        <v>6.3100000000000003E-2</v>
      </c>
      <c r="H4" s="3">
        <v>4.0099999999999997E-2</v>
      </c>
      <c r="I4" s="3">
        <v>1.2793258764603086</v>
      </c>
      <c r="J4" s="3">
        <v>3.6964064325671067</v>
      </c>
      <c r="K4" s="3">
        <v>1.6031297442348387</v>
      </c>
      <c r="L4" s="3">
        <v>3.4401812791013886</v>
      </c>
    </row>
    <row r="5" spans="1:12">
      <c r="A5">
        <v>2012</v>
      </c>
      <c r="B5" t="s">
        <v>43</v>
      </c>
      <c r="C5" s="3">
        <v>132.30000000000001</v>
      </c>
      <c r="D5" s="3">
        <v>81.7</v>
      </c>
      <c r="E5" s="3">
        <v>126.3</v>
      </c>
      <c r="F5" s="3">
        <v>79.099999999999994</v>
      </c>
      <c r="G5" s="3">
        <v>7.2999999999999995E-2</v>
      </c>
      <c r="H5" s="3">
        <v>7.0900000000000005E-2</v>
      </c>
      <c r="I5" s="3">
        <v>1.2677310528994172</v>
      </c>
      <c r="J5" s="3">
        <v>3.8191670460785483</v>
      </c>
      <c r="K5" s="3">
        <v>1.4748479500798399</v>
      </c>
      <c r="L5" s="3">
        <v>3.6163202830995247</v>
      </c>
    </row>
    <row r="6" spans="1:12">
      <c r="A6">
        <v>2013</v>
      </c>
      <c r="B6" t="s">
        <v>42</v>
      </c>
      <c r="C6" s="3">
        <v>129.9</v>
      </c>
      <c r="D6" s="3">
        <v>78.400000000000006</v>
      </c>
      <c r="E6" s="3">
        <v>120.6</v>
      </c>
      <c r="F6" s="3">
        <v>74.3</v>
      </c>
      <c r="G6" s="3">
        <v>6.3200000000000006E-2</v>
      </c>
      <c r="H6" s="3">
        <v>3.9800000000000002E-2</v>
      </c>
      <c r="I6" s="3">
        <v>1.2805516138298485</v>
      </c>
      <c r="J6" s="3">
        <v>3.660284436787824</v>
      </c>
      <c r="K6" s="3">
        <v>1.6091194283489487</v>
      </c>
      <c r="L6" s="3">
        <v>3.4110620982542916</v>
      </c>
    </row>
    <row r="7" spans="1:12">
      <c r="A7">
        <v>2013</v>
      </c>
      <c r="B7" t="s">
        <v>43</v>
      </c>
      <c r="C7" s="3">
        <v>132.4</v>
      </c>
      <c r="D7" s="3">
        <v>81.599999999999994</v>
      </c>
      <c r="E7" s="3">
        <v>126.2</v>
      </c>
      <c r="F7" s="3">
        <v>79</v>
      </c>
      <c r="G7" s="3">
        <v>7.46E-2</v>
      </c>
      <c r="H7" s="3">
        <v>7.1800000000000003E-2</v>
      </c>
      <c r="I7" s="3">
        <v>1.2669251424738628</v>
      </c>
      <c r="J7" s="3">
        <v>3.8047788398480513</v>
      </c>
      <c r="K7" s="3">
        <v>1.4781145658469785</v>
      </c>
      <c r="L7" s="3">
        <v>3.5959286171451899</v>
      </c>
    </row>
    <row r="8" spans="1:12">
      <c r="A8">
        <v>2014</v>
      </c>
      <c r="B8" t="s">
        <v>42</v>
      </c>
      <c r="C8" s="3">
        <v>129.6</v>
      </c>
      <c r="D8" s="3">
        <v>78.3</v>
      </c>
      <c r="E8" s="3">
        <v>120.3</v>
      </c>
      <c r="F8" s="3">
        <v>74.2</v>
      </c>
      <c r="G8" s="3">
        <v>6.3299999999999995E-2</v>
      </c>
      <c r="H8" s="3">
        <v>3.9600000000000003E-2</v>
      </c>
      <c r="I8" s="3">
        <v>1.2822020554473339</v>
      </c>
      <c r="J8" s="3">
        <v>3.6239947179991581</v>
      </c>
      <c r="K8" s="3">
        <v>1.6154860028243672</v>
      </c>
      <c r="L8" s="3">
        <v>3.3818797566433783</v>
      </c>
    </row>
    <row r="9" spans="1:12">
      <c r="A9">
        <v>2014</v>
      </c>
      <c r="B9" t="s">
        <v>43</v>
      </c>
      <c r="C9" s="3">
        <v>132.4</v>
      </c>
      <c r="D9" s="3">
        <v>81.599999999999994</v>
      </c>
      <c r="E9" s="3">
        <v>126</v>
      </c>
      <c r="F9" s="3">
        <v>79</v>
      </c>
      <c r="G9" s="3">
        <v>7.6100000000000001E-2</v>
      </c>
      <c r="H9" s="3">
        <v>7.2700000000000001E-2</v>
      </c>
      <c r="I9" s="3">
        <v>1.2661167852161899</v>
      </c>
      <c r="J9" s="3">
        <v>3.789499336471374</v>
      </c>
      <c r="K9" s="3">
        <v>1.4813260501854697</v>
      </c>
      <c r="L9" s="3">
        <v>3.5747260348593359</v>
      </c>
    </row>
    <row r="10" spans="1:12">
      <c r="A10">
        <v>2015</v>
      </c>
      <c r="B10" t="s">
        <v>42</v>
      </c>
      <c r="C10" s="3">
        <v>129.30000000000001</v>
      </c>
      <c r="D10" s="3">
        <v>78.2</v>
      </c>
      <c r="E10" s="3">
        <v>120</v>
      </c>
      <c r="F10" s="3">
        <v>74.099999999999994</v>
      </c>
      <c r="G10" s="3">
        <v>6.3200000000000006E-2</v>
      </c>
      <c r="H10" s="3">
        <v>3.9399999999999998E-2</v>
      </c>
      <c r="I10" s="3">
        <v>1.2840502862714442</v>
      </c>
      <c r="J10" s="3">
        <v>3.5870695165422899</v>
      </c>
      <c r="K10" s="3">
        <v>1.6220312298173027</v>
      </c>
      <c r="L10" s="3">
        <v>3.352313238112747</v>
      </c>
    </row>
    <row r="11" spans="1:12">
      <c r="A11">
        <v>2015</v>
      </c>
      <c r="B11" t="s">
        <v>43</v>
      </c>
      <c r="C11" s="3">
        <v>132.5</v>
      </c>
      <c r="D11" s="3">
        <v>81.599999999999994</v>
      </c>
      <c r="E11" s="3">
        <v>125.8</v>
      </c>
      <c r="F11" s="3">
        <v>78.900000000000006</v>
      </c>
      <c r="G11" s="3">
        <v>7.7600000000000002E-2</v>
      </c>
      <c r="H11" s="3">
        <v>7.3499999999999996E-2</v>
      </c>
      <c r="I11" s="3">
        <v>1.2653253476416815</v>
      </c>
      <c r="J11" s="3">
        <v>3.7731003036248865</v>
      </c>
      <c r="K11" s="3">
        <v>1.4844521619387614</v>
      </c>
      <c r="L11" s="3">
        <v>3.5526491698358558</v>
      </c>
    </row>
    <row r="12" spans="1:12">
      <c r="A12">
        <v>2016</v>
      </c>
      <c r="B12" t="s">
        <v>42</v>
      </c>
      <c r="C12" s="3">
        <v>129</v>
      </c>
      <c r="D12" s="3">
        <v>78</v>
      </c>
      <c r="E12" s="3">
        <v>119.6</v>
      </c>
      <c r="F12" s="3">
        <v>74</v>
      </c>
      <c r="G12" s="3">
        <v>6.3299999999999995E-2</v>
      </c>
      <c r="H12" s="3">
        <v>3.9199999999999999E-2</v>
      </c>
      <c r="I12" s="3">
        <v>1.286015291653634</v>
      </c>
      <c r="J12" s="3">
        <v>3.5495036339014772</v>
      </c>
      <c r="K12" s="3">
        <v>1.6287046798645186</v>
      </c>
      <c r="L12" s="3">
        <v>3.32247215481837</v>
      </c>
    </row>
    <row r="13" spans="1:12">
      <c r="A13">
        <v>2016</v>
      </c>
      <c r="B13" t="s">
        <v>43</v>
      </c>
      <c r="C13" s="3">
        <v>132.6</v>
      </c>
      <c r="D13" s="3">
        <v>81.5</v>
      </c>
      <c r="E13" s="3">
        <v>125.6</v>
      </c>
      <c r="F13" s="3">
        <v>78.8</v>
      </c>
      <c r="G13" s="3">
        <v>7.9100000000000004E-2</v>
      </c>
      <c r="H13" s="3">
        <v>7.4399999999999994E-2</v>
      </c>
      <c r="I13" s="3">
        <v>1.2645030067413099</v>
      </c>
      <c r="J13" s="3">
        <v>3.7555894969110541</v>
      </c>
      <c r="K13" s="3">
        <v>1.4875329426524744</v>
      </c>
      <c r="L13" s="3">
        <v>3.5298033851279227</v>
      </c>
    </row>
    <row r="14" spans="1:12">
      <c r="A14">
        <v>2017</v>
      </c>
      <c r="B14" t="s">
        <v>42</v>
      </c>
      <c r="C14" s="3">
        <v>128.69999999999999</v>
      </c>
      <c r="D14" s="3">
        <v>77.900000000000006</v>
      </c>
      <c r="E14" s="3">
        <v>119.3</v>
      </c>
      <c r="F14" s="3">
        <v>73.900000000000006</v>
      </c>
      <c r="G14" s="3">
        <v>6.3299999999999995E-2</v>
      </c>
      <c r="H14" s="3">
        <v>3.9100000000000003E-2</v>
      </c>
      <c r="I14" s="3">
        <v>1.288047346969303</v>
      </c>
      <c r="J14" s="3">
        <v>3.511249420697109</v>
      </c>
      <c r="K14" s="3">
        <v>1.6354812627542372</v>
      </c>
      <c r="L14" s="3">
        <v>3.2922774132306571</v>
      </c>
    </row>
    <row r="15" spans="1:12">
      <c r="A15">
        <v>2017</v>
      </c>
      <c r="B15" t="s">
        <v>43</v>
      </c>
      <c r="C15" s="3">
        <v>132.69999999999999</v>
      </c>
      <c r="D15" s="3">
        <v>81.5</v>
      </c>
      <c r="E15" s="3">
        <v>125.4</v>
      </c>
      <c r="F15" s="3">
        <v>78.8</v>
      </c>
      <c r="G15" s="3">
        <v>8.0600000000000005E-2</v>
      </c>
      <c r="H15" s="3">
        <v>7.5300000000000006E-2</v>
      </c>
      <c r="I15" s="3">
        <v>1.2636338853330755</v>
      </c>
      <c r="J15" s="3">
        <v>3.7368807292660824</v>
      </c>
      <c r="K15" s="3">
        <v>1.4905270017316243</v>
      </c>
      <c r="L15" s="3">
        <v>3.5063903583399187</v>
      </c>
    </row>
    <row r="16" spans="1:12">
      <c r="A16">
        <v>2018</v>
      </c>
      <c r="B16" t="s">
        <v>42</v>
      </c>
      <c r="C16" s="3">
        <v>128.4</v>
      </c>
      <c r="D16" s="3">
        <v>77.8</v>
      </c>
      <c r="E16" s="3">
        <v>119</v>
      </c>
      <c r="F16" s="3">
        <v>73.8</v>
      </c>
      <c r="G16" s="3">
        <v>6.3399999999999998E-2</v>
      </c>
      <c r="H16" s="3">
        <v>3.8899999999999997E-2</v>
      </c>
      <c r="I16" s="3">
        <v>1.2903173938612944</v>
      </c>
      <c r="J16" s="3">
        <v>3.4729301418100924</v>
      </c>
      <c r="K16" s="3">
        <v>1.642319260449683</v>
      </c>
      <c r="L16" s="3">
        <v>3.2620084286427811</v>
      </c>
    </row>
    <row r="17" spans="1:12">
      <c r="A17">
        <v>2018</v>
      </c>
      <c r="B17" t="s">
        <v>43</v>
      </c>
      <c r="C17" s="3">
        <v>132.80000000000001</v>
      </c>
      <c r="D17" s="3">
        <v>81.5</v>
      </c>
      <c r="E17" s="3">
        <v>125.2</v>
      </c>
      <c r="F17" s="3">
        <v>78.7</v>
      </c>
      <c r="G17" s="3">
        <v>8.2100000000000006E-2</v>
      </c>
      <c r="H17" s="3">
        <v>7.6200000000000004E-2</v>
      </c>
      <c r="I17" s="3">
        <v>1.26280180043822</v>
      </c>
      <c r="J17" s="3">
        <v>3.7173425454953768</v>
      </c>
      <c r="K17" s="3">
        <v>1.4935744874655128</v>
      </c>
      <c r="L17" s="3">
        <v>3.4823322494830711</v>
      </c>
    </row>
    <row r="18" spans="1:12">
      <c r="A18">
        <v>2019</v>
      </c>
      <c r="B18" t="s">
        <v>42</v>
      </c>
      <c r="C18" s="3">
        <v>128.1</v>
      </c>
      <c r="D18" s="3">
        <v>77.7</v>
      </c>
      <c r="E18" s="3">
        <v>118.6</v>
      </c>
      <c r="F18" s="3">
        <v>73.7</v>
      </c>
      <c r="G18" s="3">
        <v>6.3600000000000004E-2</v>
      </c>
      <c r="H18" s="3">
        <v>3.8800000000000001E-2</v>
      </c>
      <c r="I18" s="3">
        <v>1.2928259189250428</v>
      </c>
      <c r="J18" s="3">
        <v>3.4345008210807655</v>
      </c>
      <c r="K18" s="3">
        <v>1.6492698879764742</v>
      </c>
      <c r="L18" s="3">
        <v>3.2317229820971245</v>
      </c>
    </row>
    <row r="19" spans="1:12">
      <c r="A19">
        <v>2019</v>
      </c>
      <c r="B19" t="s">
        <v>43</v>
      </c>
      <c r="C19" s="3">
        <v>132.9</v>
      </c>
      <c r="D19" s="3">
        <v>81.400000000000006</v>
      </c>
      <c r="E19" s="3">
        <v>125</v>
      </c>
      <c r="F19" s="3">
        <v>78.599999999999994</v>
      </c>
      <c r="G19" s="3">
        <v>8.3699999999999997E-2</v>
      </c>
      <c r="H19" s="3">
        <v>7.7100000000000002E-2</v>
      </c>
      <c r="I19" s="3">
        <v>1.2621059476875829</v>
      </c>
      <c r="J19" s="3">
        <v>3.6972668340180301</v>
      </c>
      <c r="K19" s="3">
        <v>1.4967435526547541</v>
      </c>
      <c r="L19" s="3">
        <v>3.4578999138994901</v>
      </c>
    </row>
    <row r="20" spans="1:12">
      <c r="A20">
        <v>2020</v>
      </c>
      <c r="B20" t="s">
        <v>42</v>
      </c>
      <c r="C20" s="3">
        <v>127.7</v>
      </c>
      <c r="D20" s="3">
        <v>77.5</v>
      </c>
      <c r="E20" s="3">
        <v>118.3</v>
      </c>
      <c r="F20" s="3">
        <v>73.599999999999994</v>
      </c>
      <c r="G20" s="3">
        <v>6.3799999999999996E-2</v>
      </c>
      <c r="H20" s="3">
        <v>3.8800000000000001E-2</v>
      </c>
      <c r="I20" s="3">
        <v>1.2954235712658499</v>
      </c>
      <c r="J20" s="3">
        <v>3.3958454596149279</v>
      </c>
      <c r="K20" s="3">
        <v>1.65625941733166</v>
      </c>
      <c r="L20" s="3">
        <v>3.2012620094770159</v>
      </c>
    </row>
    <row r="21" spans="1:12">
      <c r="A21">
        <v>2020</v>
      </c>
      <c r="B21" t="s">
        <v>43</v>
      </c>
      <c r="C21" s="3">
        <v>132.9</v>
      </c>
      <c r="D21" s="3">
        <v>81.400000000000006</v>
      </c>
      <c r="E21" s="3">
        <v>124.7</v>
      </c>
      <c r="F21" s="3">
        <v>78.599999999999994</v>
      </c>
      <c r="G21" s="3">
        <v>8.5300000000000001E-2</v>
      </c>
      <c r="H21" s="3">
        <v>7.8E-2</v>
      </c>
      <c r="I21" s="3">
        <v>1.2615088860845145</v>
      </c>
      <c r="J21" s="3">
        <v>3.6769312126452505</v>
      </c>
      <c r="K21" s="3">
        <v>1.5000202720947016</v>
      </c>
      <c r="L21" s="3">
        <v>3.4331173040644445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/>
  </sheetViews>
  <sheetFormatPr defaultRowHeight="13.8"/>
  <cols>
    <col min="1" max="1" width="4.19921875" customWidth="1"/>
    <col min="2" max="2" width="8" customWidth="1"/>
    <col min="3" max="3" width="9.3984375" customWidth="1"/>
    <col min="4" max="4" width="10.19921875" customWidth="1"/>
    <col min="5" max="5" width="10.3984375" customWidth="1"/>
    <col min="6" max="6" width="10.19921875" customWidth="1"/>
    <col min="7" max="7" width="10.59765625" customWidth="1"/>
    <col min="8" max="8" width="11.8984375" customWidth="1"/>
    <col min="9" max="9" width="13.59765625" customWidth="1"/>
    <col min="10" max="10" width="16" customWidth="1"/>
    <col min="11" max="11" width="16.69921875" customWidth="1"/>
    <col min="12" max="12" width="13.69921875" customWidth="1"/>
    <col min="13" max="13" width="16.19921875" customWidth="1"/>
    <col min="14" max="14" width="17.8984375" customWidth="1"/>
  </cols>
  <sheetData>
    <row r="1" spans="1:14" ht="27.6">
      <c r="A1" s="2" t="s">
        <v>30</v>
      </c>
      <c r="B1" s="2" t="s">
        <v>31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</row>
    <row r="2" spans="1:14" ht="27.6">
      <c r="A2" s="4">
        <v>2011</v>
      </c>
      <c r="B2" s="4" t="s">
        <v>42</v>
      </c>
      <c r="C2" s="5">
        <f>AVERAGE(Raw_Triggers!C2,Raw_Triggers!E2)</f>
        <v>125.85</v>
      </c>
      <c r="D2" s="5">
        <f>AVERAGE(Raw_Triggers!D2,Raw_Triggers!F2)</f>
        <v>76.650000000000006</v>
      </c>
      <c r="E2" s="5">
        <f>AVERAGE(Raw_Triggers!G2,Raw_Triggers!H2)</f>
        <v>5.1650000000000001E-2</v>
      </c>
      <c r="F2" s="5">
        <f>AVERAGE(Raw_Triggers!I2,Raw_Triggers!K2)</f>
        <v>1.4380858674688828</v>
      </c>
      <c r="G2" s="5">
        <f>AVERAGE(Raw_Triggers!J2,Raw_Triggers!L2)</f>
        <v>3.6014591631804906</v>
      </c>
      <c r="H2" s="5">
        <f t="shared" ref="H2:H21" si="0">C2+0.5*D2</f>
        <v>164.17500000000001</v>
      </c>
      <c r="I2" s="5">
        <f t="shared" ref="I2:I21" si="1">G2/F2</f>
        <v>2.5043422264619526</v>
      </c>
      <c r="J2" s="5">
        <f t="shared" ref="J2:J21" si="2">40*(H2-MIN($H$2:$H$21))/(MAX($H$2:$H$21)-MIN($H$2:$H$21))+30*(E2-MIN($E$2:$E$21))/(MAX($E$2:$E$21)-MIN($E$2:$E$21))+30*(I2-MIN($I$2:$I$21))/(MAX($I$2:$I$21)-MIN($I$2:$I$21))</f>
        <v>32.404847436138127</v>
      </c>
      <c r="K2" s="4" t="str">
        <f t="shared" ref="K2:K21" si="3">IF(J2&lt;33,"Low",IF(J2&lt;66,"Medium","High"))</f>
        <v>Low</v>
      </c>
      <c r="L2" s="6">
        <f>Assumptions!$B$9</f>
        <v>70</v>
      </c>
      <c r="M2" s="6">
        <f t="shared" ref="M2:M21" si="4">MAX(0,J2-L2)</f>
        <v>0</v>
      </c>
      <c r="N2" s="6">
        <f t="shared" ref="N2:N21" si="5">1120*M2</f>
        <v>0</v>
      </c>
    </row>
    <row r="3" spans="1:14" ht="27.6">
      <c r="A3" s="4">
        <v>2011</v>
      </c>
      <c r="B3" s="4" t="s">
        <v>43</v>
      </c>
      <c r="C3" s="5">
        <f>AVERAGE(Raw_Triggers!C3,Raw_Triggers!E3)</f>
        <v>129.35</v>
      </c>
      <c r="D3" s="5">
        <f>AVERAGE(Raw_Triggers!D3,Raw_Triggers!F3)</f>
        <v>80.45</v>
      </c>
      <c r="E3" s="5">
        <f>AVERAGE(Raw_Triggers!G3,Raw_Triggers!H3)</f>
        <v>7.0750000000000007E-2</v>
      </c>
      <c r="F3" s="5">
        <f>AVERAGE(Raw_Triggers!I3,Raw_Triggers!K3)</f>
        <v>1.3700429992863292</v>
      </c>
      <c r="G3" s="5">
        <f>AVERAGE(Raw_Triggers!J3,Raw_Triggers!L3)</f>
        <v>3.7346292971992172</v>
      </c>
      <c r="H3" s="5">
        <f t="shared" si="0"/>
        <v>169.57499999999999</v>
      </c>
      <c r="I3" s="5">
        <f t="shared" si="1"/>
        <v>2.7259212295852229</v>
      </c>
      <c r="J3" s="5">
        <f t="shared" si="2"/>
        <v>89.278688524590166</v>
      </c>
      <c r="K3" s="4" t="str">
        <f t="shared" si="3"/>
        <v>High</v>
      </c>
      <c r="L3" s="6">
        <f>Assumptions!$B$9</f>
        <v>70</v>
      </c>
      <c r="M3" s="6">
        <f t="shared" si="4"/>
        <v>19.278688524590166</v>
      </c>
      <c r="N3" s="6">
        <f t="shared" si="5"/>
        <v>21592.131147540986</v>
      </c>
    </row>
    <row r="4" spans="1:14" ht="27.6">
      <c r="A4" s="4">
        <v>2012</v>
      </c>
      <c r="B4" s="4" t="s">
        <v>42</v>
      </c>
      <c r="C4" s="5">
        <f>AVERAGE(Raw_Triggers!C4,Raw_Triggers!E4)</f>
        <v>125.6</v>
      </c>
      <c r="D4" s="5">
        <f>AVERAGE(Raw_Triggers!D4,Raw_Triggers!F4)</f>
        <v>76.5</v>
      </c>
      <c r="E4" s="5">
        <f>AVERAGE(Raw_Triggers!G4,Raw_Triggers!H4)</f>
        <v>5.16E-2</v>
      </c>
      <c r="F4" s="5">
        <f>AVERAGE(Raw_Triggers!I4,Raw_Triggers!K4)</f>
        <v>1.4412278103475735</v>
      </c>
      <c r="G4" s="5">
        <f>AVERAGE(Raw_Triggers!J4,Raw_Triggers!L4)</f>
        <v>3.5682938558342476</v>
      </c>
      <c r="H4" s="5">
        <f t="shared" si="0"/>
        <v>163.85</v>
      </c>
      <c r="I4" s="5">
        <f t="shared" si="1"/>
        <v>2.4758708028078509</v>
      </c>
      <c r="J4" s="5">
        <f t="shared" si="2"/>
        <v>29.138401805401678</v>
      </c>
      <c r="K4" s="4" t="str">
        <f t="shared" si="3"/>
        <v>Low</v>
      </c>
      <c r="L4" s="6">
        <f>Assumptions!$B$9</f>
        <v>70</v>
      </c>
      <c r="M4" s="6">
        <f t="shared" si="4"/>
        <v>0</v>
      </c>
      <c r="N4" s="6">
        <f t="shared" si="5"/>
        <v>0</v>
      </c>
    </row>
    <row r="5" spans="1:14" ht="27.6">
      <c r="A5" s="4">
        <v>2012</v>
      </c>
      <c r="B5" s="4" t="s">
        <v>43</v>
      </c>
      <c r="C5" s="5">
        <f>AVERAGE(Raw_Triggers!C5,Raw_Triggers!E5)</f>
        <v>129.30000000000001</v>
      </c>
      <c r="D5" s="5">
        <f>AVERAGE(Raw_Triggers!D5,Raw_Triggers!F5)</f>
        <v>80.400000000000006</v>
      </c>
      <c r="E5" s="5">
        <f>AVERAGE(Raw_Triggers!G5,Raw_Triggers!H5)</f>
        <v>7.195E-2</v>
      </c>
      <c r="F5" s="5">
        <f>AVERAGE(Raw_Triggers!I5,Raw_Triggers!K5)</f>
        <v>1.3712895014896285</v>
      </c>
      <c r="G5" s="5">
        <f>AVERAGE(Raw_Triggers!J5,Raw_Triggers!L5)</f>
        <v>3.7177436645890367</v>
      </c>
      <c r="H5" s="5">
        <f t="shared" si="0"/>
        <v>169.5</v>
      </c>
      <c r="I5" s="5">
        <f t="shared" si="1"/>
        <v>2.7111296779786187</v>
      </c>
      <c r="J5" s="5">
        <f t="shared" si="2"/>
        <v>89.214141617863277</v>
      </c>
      <c r="K5" s="4" t="str">
        <f t="shared" si="3"/>
        <v>High</v>
      </c>
      <c r="L5" s="6">
        <f>Assumptions!$B$9</f>
        <v>70</v>
      </c>
      <c r="M5" s="6">
        <f t="shared" si="4"/>
        <v>19.214141617863277</v>
      </c>
      <c r="N5" s="6">
        <f t="shared" si="5"/>
        <v>21519.838612006868</v>
      </c>
    </row>
    <row r="6" spans="1:14" ht="27.6">
      <c r="A6" s="4">
        <v>2013</v>
      </c>
      <c r="B6" s="4" t="s">
        <v>42</v>
      </c>
      <c r="C6" s="5">
        <f>AVERAGE(Raw_Triggers!C6,Raw_Triggers!E6)</f>
        <v>125.25</v>
      </c>
      <c r="D6" s="5">
        <f>AVERAGE(Raw_Triggers!D6,Raw_Triggers!F6)</f>
        <v>76.349999999999994</v>
      </c>
      <c r="E6" s="5">
        <f>AVERAGE(Raw_Triggers!G6,Raw_Triggers!H6)</f>
        <v>5.1500000000000004E-2</v>
      </c>
      <c r="F6" s="5">
        <f>AVERAGE(Raw_Triggers!I6,Raw_Triggers!K6)</f>
        <v>1.4448355210893986</v>
      </c>
      <c r="G6" s="5">
        <f>AVERAGE(Raw_Triggers!J6,Raw_Triggers!L6)</f>
        <v>3.5356732675210578</v>
      </c>
      <c r="H6" s="5">
        <f t="shared" si="0"/>
        <v>163.42500000000001</v>
      </c>
      <c r="I6" s="5">
        <f t="shared" si="1"/>
        <v>2.4471112565499347</v>
      </c>
      <c r="J6" s="5">
        <f t="shared" si="2"/>
        <v>25.350622168735846</v>
      </c>
      <c r="K6" s="4" t="str">
        <f t="shared" si="3"/>
        <v>Low</v>
      </c>
      <c r="L6" s="6">
        <f>Assumptions!$B$9</f>
        <v>70</v>
      </c>
      <c r="M6" s="6">
        <f t="shared" si="4"/>
        <v>0</v>
      </c>
      <c r="N6" s="6">
        <f t="shared" si="5"/>
        <v>0</v>
      </c>
    </row>
    <row r="7" spans="1:14" ht="27.6">
      <c r="A7" s="4">
        <v>2013</v>
      </c>
      <c r="B7" s="4" t="s">
        <v>43</v>
      </c>
      <c r="C7" s="5">
        <f>AVERAGE(Raw_Triggers!C7,Raw_Triggers!E7)</f>
        <v>129.30000000000001</v>
      </c>
      <c r="D7" s="5">
        <f>AVERAGE(Raw_Triggers!D7,Raw_Triggers!F7)</f>
        <v>80.3</v>
      </c>
      <c r="E7" s="5">
        <f>AVERAGE(Raw_Triggers!G7,Raw_Triggers!H7)</f>
        <v>7.3200000000000001E-2</v>
      </c>
      <c r="F7" s="5">
        <f>AVERAGE(Raw_Triggers!I7,Raw_Triggers!K7)</f>
        <v>1.3725198541604207</v>
      </c>
      <c r="G7" s="5">
        <f>AVERAGE(Raw_Triggers!J7,Raw_Triggers!L7)</f>
        <v>3.7003537284966206</v>
      </c>
      <c r="H7" s="5">
        <f t="shared" si="0"/>
        <v>169.45000000000002</v>
      </c>
      <c r="I7" s="5">
        <f t="shared" si="1"/>
        <v>2.6960292904179162</v>
      </c>
      <c r="J7" s="5">
        <f t="shared" si="2"/>
        <v>89.293537310719273</v>
      </c>
      <c r="K7" s="4" t="str">
        <f t="shared" si="3"/>
        <v>High</v>
      </c>
      <c r="L7" s="6">
        <f>Assumptions!$B$9</f>
        <v>70</v>
      </c>
      <c r="M7" s="6">
        <f t="shared" si="4"/>
        <v>19.293537310719273</v>
      </c>
      <c r="N7" s="6">
        <f t="shared" si="5"/>
        <v>21608.761788005584</v>
      </c>
    </row>
    <row r="8" spans="1:14" ht="27.6">
      <c r="A8" s="4">
        <v>2014</v>
      </c>
      <c r="B8" s="4" t="s">
        <v>42</v>
      </c>
      <c r="C8" s="5">
        <f>AVERAGE(Raw_Triggers!C8,Raw_Triggers!E8)</f>
        <v>124.94999999999999</v>
      </c>
      <c r="D8" s="5">
        <f>AVERAGE(Raw_Triggers!D8,Raw_Triggers!F8)</f>
        <v>76.25</v>
      </c>
      <c r="E8" s="5">
        <f>AVERAGE(Raw_Triggers!G8,Raw_Triggers!H8)</f>
        <v>5.1449999999999996E-2</v>
      </c>
      <c r="F8" s="5">
        <f>AVERAGE(Raw_Triggers!I8,Raw_Triggers!K8)</f>
        <v>1.4488440291358504</v>
      </c>
      <c r="G8" s="5">
        <f>AVERAGE(Raw_Triggers!J8,Raw_Triggers!L8)</f>
        <v>3.5029372373212682</v>
      </c>
      <c r="H8" s="5">
        <f t="shared" si="0"/>
        <v>163.07499999999999</v>
      </c>
      <c r="I8" s="5">
        <f t="shared" si="1"/>
        <v>2.4177462631437026</v>
      </c>
      <c r="J8" s="5">
        <f t="shared" si="2"/>
        <v>21.915930866680586</v>
      </c>
      <c r="K8" s="4" t="str">
        <f t="shared" si="3"/>
        <v>Low</v>
      </c>
      <c r="L8" s="6">
        <f>Assumptions!$B$9</f>
        <v>70</v>
      </c>
      <c r="M8" s="6">
        <f t="shared" si="4"/>
        <v>0</v>
      </c>
      <c r="N8" s="6">
        <f t="shared" si="5"/>
        <v>0</v>
      </c>
    </row>
    <row r="9" spans="1:14" ht="27.6">
      <c r="A9" s="4">
        <v>2014</v>
      </c>
      <c r="B9" s="4" t="s">
        <v>43</v>
      </c>
      <c r="C9" s="5">
        <f>AVERAGE(Raw_Triggers!C9,Raw_Triggers!E9)</f>
        <v>129.19999999999999</v>
      </c>
      <c r="D9" s="5">
        <f>AVERAGE(Raw_Triggers!D9,Raw_Triggers!F9)</f>
        <v>80.3</v>
      </c>
      <c r="E9" s="5">
        <f>AVERAGE(Raw_Triggers!G9,Raw_Triggers!H9)</f>
        <v>7.4399999999999994E-2</v>
      </c>
      <c r="F9" s="5">
        <f>AVERAGE(Raw_Triggers!I9,Raw_Triggers!K9)</f>
        <v>1.3737214177008297</v>
      </c>
      <c r="G9" s="5">
        <f>AVERAGE(Raw_Triggers!J9,Raw_Triggers!L9)</f>
        <v>3.6821126856653548</v>
      </c>
      <c r="H9" s="5">
        <f t="shared" si="0"/>
        <v>169.35</v>
      </c>
      <c r="I9" s="5">
        <f t="shared" si="1"/>
        <v>2.6803925732103919</v>
      </c>
      <c r="J9" s="5">
        <f t="shared" si="2"/>
        <v>89.063702886953237</v>
      </c>
      <c r="K9" s="4" t="str">
        <f t="shared" si="3"/>
        <v>High</v>
      </c>
      <c r="L9" s="6">
        <f>Assumptions!$B$9</f>
        <v>70</v>
      </c>
      <c r="M9" s="6">
        <f t="shared" si="4"/>
        <v>19.063702886953237</v>
      </c>
      <c r="N9" s="6">
        <f t="shared" si="5"/>
        <v>21351.347233387627</v>
      </c>
    </row>
    <row r="10" spans="1:14" ht="27.6">
      <c r="A10" s="4">
        <v>2015</v>
      </c>
      <c r="B10" s="4" t="s">
        <v>42</v>
      </c>
      <c r="C10" s="5">
        <f>AVERAGE(Raw_Triggers!C10,Raw_Triggers!E10)</f>
        <v>124.65</v>
      </c>
      <c r="D10" s="5">
        <f>AVERAGE(Raw_Triggers!D10,Raw_Triggers!F10)</f>
        <v>76.150000000000006</v>
      </c>
      <c r="E10" s="5">
        <f>AVERAGE(Raw_Triggers!G10,Raw_Triggers!H10)</f>
        <v>5.1299999999999998E-2</v>
      </c>
      <c r="F10" s="5">
        <f>AVERAGE(Raw_Triggers!I10,Raw_Triggers!K10)</f>
        <v>1.4530407580443736</v>
      </c>
      <c r="G10" s="5">
        <f>AVERAGE(Raw_Triggers!J10,Raw_Triggers!L10)</f>
        <v>3.4696913773275186</v>
      </c>
      <c r="H10" s="5">
        <f t="shared" si="0"/>
        <v>162.72500000000002</v>
      </c>
      <c r="I10" s="5">
        <f t="shared" si="1"/>
        <v>2.3878830363969459</v>
      </c>
      <c r="J10" s="5">
        <f t="shared" si="2"/>
        <v>18.352430051677288</v>
      </c>
      <c r="K10" s="4" t="str">
        <f t="shared" si="3"/>
        <v>Low</v>
      </c>
      <c r="L10" s="6">
        <f>Assumptions!$B$9</f>
        <v>70</v>
      </c>
      <c r="M10" s="6">
        <f t="shared" si="4"/>
        <v>0</v>
      </c>
      <c r="N10" s="6">
        <f t="shared" si="5"/>
        <v>0</v>
      </c>
    </row>
    <row r="11" spans="1:14" ht="27.6">
      <c r="A11" s="4">
        <v>2015</v>
      </c>
      <c r="B11" s="4" t="s">
        <v>43</v>
      </c>
      <c r="C11" s="5">
        <f>AVERAGE(Raw_Triggers!C11,Raw_Triggers!E11)</f>
        <v>129.15</v>
      </c>
      <c r="D11" s="5">
        <f>AVERAGE(Raw_Triggers!D11,Raw_Triggers!F11)</f>
        <v>80.25</v>
      </c>
      <c r="E11" s="5">
        <f>AVERAGE(Raw_Triggers!G11,Raw_Triggers!H11)</f>
        <v>7.5550000000000006E-2</v>
      </c>
      <c r="F11" s="5">
        <f>AVERAGE(Raw_Triggers!I11,Raw_Triggers!K11)</f>
        <v>1.3748887547902213</v>
      </c>
      <c r="G11" s="5">
        <f>AVERAGE(Raw_Triggers!J11,Raw_Triggers!L11)</f>
        <v>3.6628747367303713</v>
      </c>
      <c r="H11" s="5">
        <f t="shared" si="0"/>
        <v>169.27500000000001</v>
      </c>
      <c r="I11" s="5">
        <f t="shared" si="1"/>
        <v>2.6641244420456749</v>
      </c>
      <c r="J11" s="5">
        <f t="shared" si="2"/>
        <v>88.859736488359076</v>
      </c>
      <c r="K11" s="4" t="str">
        <f t="shared" si="3"/>
        <v>High</v>
      </c>
      <c r="L11" s="6">
        <f>Assumptions!$B$9</f>
        <v>70</v>
      </c>
      <c r="M11" s="6">
        <f t="shared" si="4"/>
        <v>18.859736488359076</v>
      </c>
      <c r="N11" s="6">
        <f t="shared" si="5"/>
        <v>21122.904866962166</v>
      </c>
    </row>
    <row r="12" spans="1:14" ht="27.6">
      <c r="A12" s="4">
        <v>2016</v>
      </c>
      <c r="B12" s="4" t="s">
        <v>42</v>
      </c>
      <c r="C12" s="5">
        <f>AVERAGE(Raw_Triggers!C12,Raw_Triggers!E12)</f>
        <v>124.3</v>
      </c>
      <c r="D12" s="5">
        <f>AVERAGE(Raw_Triggers!D12,Raw_Triggers!F12)</f>
        <v>76</v>
      </c>
      <c r="E12" s="5">
        <f>AVERAGE(Raw_Triggers!G12,Raw_Triggers!H12)</f>
        <v>5.1249999999999997E-2</v>
      </c>
      <c r="F12" s="5">
        <f>AVERAGE(Raw_Triggers!I12,Raw_Triggers!K12)</f>
        <v>1.4573599857590764</v>
      </c>
      <c r="G12" s="5">
        <f>AVERAGE(Raw_Triggers!J12,Raw_Triggers!L12)</f>
        <v>3.4359878943599238</v>
      </c>
      <c r="H12" s="5">
        <f t="shared" si="0"/>
        <v>162.30000000000001</v>
      </c>
      <c r="I12" s="5">
        <f t="shared" si="1"/>
        <v>2.3576795904481109</v>
      </c>
      <c r="J12" s="5">
        <f t="shared" si="2"/>
        <v>14.525588764796289</v>
      </c>
      <c r="K12" s="4" t="str">
        <f t="shared" si="3"/>
        <v>Low</v>
      </c>
      <c r="L12" s="6">
        <f>Assumptions!$B$9</f>
        <v>70</v>
      </c>
      <c r="M12" s="6">
        <f t="shared" si="4"/>
        <v>0</v>
      </c>
      <c r="N12" s="6">
        <f t="shared" si="5"/>
        <v>0</v>
      </c>
    </row>
    <row r="13" spans="1:14" ht="27.6">
      <c r="A13" s="4">
        <v>2016</v>
      </c>
      <c r="B13" s="4" t="s">
        <v>43</v>
      </c>
      <c r="C13" s="5">
        <f>AVERAGE(Raw_Triggers!C13,Raw_Triggers!E13)</f>
        <v>129.1</v>
      </c>
      <c r="D13" s="5">
        <f>AVERAGE(Raw_Triggers!D13,Raw_Triggers!F13)</f>
        <v>80.150000000000006</v>
      </c>
      <c r="E13" s="5">
        <f>AVERAGE(Raw_Triggers!G13,Raw_Triggers!H13)</f>
        <v>7.6749999999999999E-2</v>
      </c>
      <c r="F13" s="5">
        <f>AVERAGE(Raw_Triggers!I13,Raw_Triggers!K13)</f>
        <v>1.3760179746968921</v>
      </c>
      <c r="G13" s="5">
        <f>AVERAGE(Raw_Triggers!J13,Raw_Triggers!L13)</f>
        <v>3.6426964410194884</v>
      </c>
      <c r="H13" s="5">
        <f t="shared" si="0"/>
        <v>169.17500000000001</v>
      </c>
      <c r="I13" s="5">
        <f t="shared" si="1"/>
        <v>2.6472738786874479</v>
      </c>
      <c r="J13" s="5">
        <f t="shared" si="2"/>
        <v>88.55571949768688</v>
      </c>
      <c r="K13" s="4" t="str">
        <f t="shared" si="3"/>
        <v>High</v>
      </c>
      <c r="L13" s="6">
        <f>Assumptions!$B$9</f>
        <v>70</v>
      </c>
      <c r="M13" s="6">
        <f t="shared" si="4"/>
        <v>18.55571949768688</v>
      </c>
      <c r="N13" s="6">
        <f t="shared" si="5"/>
        <v>20782.405837409307</v>
      </c>
    </row>
    <row r="14" spans="1:14" ht="27.6">
      <c r="A14" s="4">
        <v>2017</v>
      </c>
      <c r="B14" s="4" t="s">
        <v>42</v>
      </c>
      <c r="C14" s="5">
        <f>AVERAGE(Raw_Triggers!C14,Raw_Triggers!E14)</f>
        <v>124</v>
      </c>
      <c r="D14" s="5">
        <f>AVERAGE(Raw_Triggers!D14,Raw_Triggers!F14)</f>
        <v>75.900000000000006</v>
      </c>
      <c r="E14" s="5">
        <f>AVERAGE(Raw_Triggers!G14,Raw_Triggers!H14)</f>
        <v>5.1199999999999996E-2</v>
      </c>
      <c r="F14" s="5">
        <f>AVERAGE(Raw_Triggers!I14,Raw_Triggers!K14)</f>
        <v>1.4617643048617701</v>
      </c>
      <c r="G14" s="5">
        <f>AVERAGE(Raw_Triggers!J14,Raw_Triggers!L14)</f>
        <v>3.4017634169638828</v>
      </c>
      <c r="H14" s="5">
        <f t="shared" si="0"/>
        <v>161.94999999999999</v>
      </c>
      <c r="I14" s="5">
        <f t="shared" si="1"/>
        <v>2.3271627345460226</v>
      </c>
      <c r="J14" s="5">
        <f t="shared" si="2"/>
        <v>11.020502943125681</v>
      </c>
      <c r="K14" s="4" t="str">
        <f t="shared" si="3"/>
        <v>Low</v>
      </c>
      <c r="L14" s="6">
        <f>Assumptions!$B$9</f>
        <v>70</v>
      </c>
      <c r="M14" s="6">
        <f t="shared" si="4"/>
        <v>0</v>
      </c>
      <c r="N14" s="6">
        <f t="shared" si="5"/>
        <v>0</v>
      </c>
    </row>
    <row r="15" spans="1:14" ht="27.6">
      <c r="A15" s="4">
        <v>2017</v>
      </c>
      <c r="B15" s="4" t="s">
        <v>43</v>
      </c>
      <c r="C15" s="5">
        <f>AVERAGE(Raw_Triggers!C15,Raw_Triggers!E15)</f>
        <v>129.05000000000001</v>
      </c>
      <c r="D15" s="5">
        <f>AVERAGE(Raw_Triggers!D15,Raw_Triggers!F15)</f>
        <v>80.150000000000006</v>
      </c>
      <c r="E15" s="5">
        <f>AVERAGE(Raw_Triggers!G15,Raw_Triggers!H15)</f>
        <v>7.7950000000000005E-2</v>
      </c>
      <c r="F15" s="5">
        <f>AVERAGE(Raw_Triggers!I15,Raw_Triggers!K15)</f>
        <v>1.3770804435323498</v>
      </c>
      <c r="G15" s="5">
        <f>AVERAGE(Raw_Triggers!J15,Raw_Triggers!L15)</f>
        <v>3.6216355438030003</v>
      </c>
      <c r="H15" s="5">
        <f t="shared" si="0"/>
        <v>169.125</v>
      </c>
      <c r="I15" s="5">
        <f t="shared" si="1"/>
        <v>2.6299375325621073</v>
      </c>
      <c r="J15" s="5">
        <f t="shared" si="2"/>
        <v>88.449287277042998</v>
      </c>
      <c r="K15" s="4" t="str">
        <f t="shared" si="3"/>
        <v>High</v>
      </c>
      <c r="L15" s="6">
        <f>Assumptions!$B$9</f>
        <v>70</v>
      </c>
      <c r="M15" s="6">
        <f t="shared" si="4"/>
        <v>18.449287277042998</v>
      </c>
      <c r="N15" s="6">
        <f t="shared" si="5"/>
        <v>20663.201750288157</v>
      </c>
    </row>
    <row r="16" spans="1:14" ht="27.6">
      <c r="A16" s="4">
        <v>2018</v>
      </c>
      <c r="B16" s="4" t="s">
        <v>42</v>
      </c>
      <c r="C16" s="5">
        <f>AVERAGE(Raw_Triggers!C16,Raw_Triggers!E16)</f>
        <v>123.7</v>
      </c>
      <c r="D16" s="5">
        <f>AVERAGE(Raw_Triggers!D16,Raw_Triggers!F16)</f>
        <v>75.8</v>
      </c>
      <c r="E16" s="5">
        <f>AVERAGE(Raw_Triggers!G16,Raw_Triggers!H16)</f>
        <v>5.1150000000000001E-2</v>
      </c>
      <c r="F16" s="5">
        <f>AVERAGE(Raw_Triggers!I16,Raw_Triggers!K16)</f>
        <v>1.4663183271554887</v>
      </c>
      <c r="G16" s="5">
        <f>AVERAGE(Raw_Triggers!J16,Raw_Triggers!L16)</f>
        <v>3.367469285226437</v>
      </c>
      <c r="H16" s="5">
        <f t="shared" si="0"/>
        <v>161.6</v>
      </c>
      <c r="I16" s="5">
        <f t="shared" si="1"/>
        <v>2.2965472250210439</v>
      </c>
      <c r="J16" s="5">
        <f t="shared" si="2"/>
        <v>7.5093880386292042</v>
      </c>
      <c r="K16" s="4" t="str">
        <f t="shared" si="3"/>
        <v>Low</v>
      </c>
      <c r="L16" s="6">
        <f>Assumptions!$B$9</f>
        <v>70</v>
      </c>
      <c r="M16" s="6">
        <f t="shared" si="4"/>
        <v>0</v>
      </c>
      <c r="N16" s="6">
        <f t="shared" si="5"/>
        <v>0</v>
      </c>
    </row>
    <row r="17" spans="1:14" ht="27.6">
      <c r="A17" s="4">
        <v>2018</v>
      </c>
      <c r="B17" s="4" t="s">
        <v>43</v>
      </c>
      <c r="C17" s="5">
        <f>AVERAGE(Raw_Triggers!C17,Raw_Triggers!E17)</f>
        <v>129</v>
      </c>
      <c r="D17" s="5">
        <f>AVERAGE(Raw_Triggers!D17,Raw_Triggers!F17)</f>
        <v>80.099999999999994</v>
      </c>
      <c r="E17" s="5">
        <f>AVERAGE(Raw_Triggers!G17,Raw_Triggers!H17)</f>
        <v>7.9149999999999998E-2</v>
      </c>
      <c r="F17" s="5">
        <f>AVERAGE(Raw_Triggers!I17,Raw_Triggers!K17)</f>
        <v>1.3781881439518664</v>
      </c>
      <c r="G17" s="5">
        <f>AVERAGE(Raw_Triggers!J17,Raw_Triggers!L17)</f>
        <v>3.5998373974892237</v>
      </c>
      <c r="H17" s="5">
        <f t="shared" si="0"/>
        <v>169.05</v>
      </c>
      <c r="I17" s="5">
        <f t="shared" si="1"/>
        <v>2.6120072308610349</v>
      </c>
      <c r="J17" s="5">
        <f t="shared" si="2"/>
        <v>88.192919900522512</v>
      </c>
      <c r="K17" s="4" t="str">
        <f t="shared" si="3"/>
        <v>High</v>
      </c>
      <c r="L17" s="6">
        <f>Assumptions!$B$9</f>
        <v>70</v>
      </c>
      <c r="M17" s="6">
        <f t="shared" si="4"/>
        <v>18.192919900522512</v>
      </c>
      <c r="N17" s="6">
        <f t="shared" si="5"/>
        <v>20376.070288585212</v>
      </c>
    </row>
    <row r="18" spans="1:14" ht="27.6">
      <c r="A18" s="4">
        <v>2019</v>
      </c>
      <c r="B18" s="4" t="s">
        <v>42</v>
      </c>
      <c r="C18" s="5">
        <f>AVERAGE(Raw_Triggers!C18,Raw_Triggers!E18)</f>
        <v>123.35</v>
      </c>
      <c r="D18" s="5">
        <f>AVERAGE(Raw_Triggers!D18,Raw_Triggers!F18)</f>
        <v>75.7</v>
      </c>
      <c r="E18" s="5">
        <f>AVERAGE(Raw_Triggers!G18,Raw_Triggers!H18)</f>
        <v>5.1200000000000002E-2</v>
      </c>
      <c r="F18" s="5">
        <f>AVERAGE(Raw_Triggers!I18,Raw_Triggers!K18)</f>
        <v>1.4710479034507586</v>
      </c>
      <c r="G18" s="5">
        <f>AVERAGE(Raw_Triggers!J18,Raw_Triggers!L18)</f>
        <v>3.333111901588945</v>
      </c>
      <c r="H18" s="5">
        <f t="shared" si="0"/>
        <v>161.19999999999999</v>
      </c>
      <c r="I18" s="5">
        <f t="shared" si="1"/>
        <v>2.2658078596694158</v>
      </c>
      <c r="J18" s="5">
        <f t="shared" si="2"/>
        <v>3.8617917811513705</v>
      </c>
      <c r="K18" s="4" t="str">
        <f t="shared" si="3"/>
        <v>Low</v>
      </c>
      <c r="L18" s="6">
        <f>Assumptions!$B$9</f>
        <v>70</v>
      </c>
      <c r="M18" s="6">
        <f t="shared" si="4"/>
        <v>0</v>
      </c>
      <c r="N18" s="6">
        <f t="shared" si="5"/>
        <v>0</v>
      </c>
    </row>
    <row r="19" spans="1:14" ht="27.6">
      <c r="A19" s="4">
        <v>2019</v>
      </c>
      <c r="B19" s="4" t="s">
        <v>43</v>
      </c>
      <c r="C19" s="5">
        <f>AVERAGE(Raw_Triggers!C19,Raw_Triggers!E19)</f>
        <v>128.94999999999999</v>
      </c>
      <c r="D19" s="5">
        <f>AVERAGE(Raw_Triggers!D19,Raw_Triggers!F19)</f>
        <v>80</v>
      </c>
      <c r="E19" s="5">
        <f>AVERAGE(Raw_Triggers!G19,Raw_Triggers!H19)</f>
        <v>8.0399999999999999E-2</v>
      </c>
      <c r="F19" s="5">
        <f>AVERAGE(Raw_Triggers!I19,Raw_Triggers!K19)</f>
        <v>1.3794247501711685</v>
      </c>
      <c r="G19" s="5">
        <f>AVERAGE(Raw_Triggers!J19,Raw_Triggers!L19)</f>
        <v>3.5775833739587601</v>
      </c>
      <c r="H19" s="5">
        <f t="shared" si="0"/>
        <v>168.95</v>
      </c>
      <c r="I19" s="5">
        <f t="shared" si="1"/>
        <v>2.5935328284597103</v>
      </c>
      <c r="J19" s="5">
        <f t="shared" si="2"/>
        <v>87.838844509326805</v>
      </c>
      <c r="K19" s="4" t="str">
        <f t="shared" si="3"/>
        <v>High</v>
      </c>
      <c r="L19" s="6">
        <f>Assumptions!$B$9</f>
        <v>70</v>
      </c>
      <c r="M19" s="6">
        <f t="shared" si="4"/>
        <v>17.838844509326805</v>
      </c>
      <c r="N19" s="6">
        <f t="shared" si="5"/>
        <v>19979.505850446021</v>
      </c>
    </row>
    <row r="20" spans="1:14" ht="27.6">
      <c r="A20" s="4">
        <v>2020</v>
      </c>
      <c r="B20" s="4" t="s">
        <v>42</v>
      </c>
      <c r="C20" s="5">
        <f>AVERAGE(Raw_Triggers!C20,Raw_Triggers!E20)</f>
        <v>123</v>
      </c>
      <c r="D20" s="5">
        <f>AVERAGE(Raw_Triggers!D20,Raw_Triggers!F20)</f>
        <v>75.55</v>
      </c>
      <c r="E20" s="5">
        <f>AVERAGE(Raw_Triggers!G20,Raw_Triggers!H20)</f>
        <v>5.1299999999999998E-2</v>
      </c>
      <c r="F20" s="5">
        <f>AVERAGE(Raw_Triggers!I20,Raw_Triggers!K20)</f>
        <v>1.475841494298755</v>
      </c>
      <c r="G20" s="5">
        <f>AVERAGE(Raw_Triggers!J20,Raw_Triggers!L20)</f>
        <v>3.2985537345459717</v>
      </c>
      <c r="H20" s="5">
        <f t="shared" si="0"/>
        <v>160.77500000000001</v>
      </c>
      <c r="I20" s="5">
        <f t="shared" si="1"/>
        <v>2.2350325202865209</v>
      </c>
      <c r="J20" s="5">
        <f t="shared" si="2"/>
        <v>0.14754098360655479</v>
      </c>
      <c r="K20" s="4" t="str">
        <f t="shared" si="3"/>
        <v>Low</v>
      </c>
      <c r="L20" s="6">
        <f>Assumptions!$B$9</f>
        <v>70</v>
      </c>
      <c r="M20" s="6">
        <f t="shared" si="4"/>
        <v>0</v>
      </c>
      <c r="N20" s="6">
        <f t="shared" si="5"/>
        <v>0</v>
      </c>
    </row>
    <row r="21" spans="1:14" ht="27.6">
      <c r="A21" s="4">
        <v>2020</v>
      </c>
      <c r="B21" s="4" t="s">
        <v>43</v>
      </c>
      <c r="C21" s="5">
        <f>AVERAGE(Raw_Triggers!C21,Raw_Triggers!E21)</f>
        <v>128.80000000000001</v>
      </c>
      <c r="D21" s="5">
        <f>AVERAGE(Raw_Triggers!D21,Raw_Triggers!F21)</f>
        <v>80</v>
      </c>
      <c r="E21" s="5">
        <f>AVERAGE(Raw_Triggers!G21,Raw_Triggers!H21)</f>
        <v>8.165E-2</v>
      </c>
      <c r="F21" s="5">
        <f>AVERAGE(Raw_Triggers!I21,Raw_Triggers!K21)</f>
        <v>1.3807645790896079</v>
      </c>
      <c r="G21" s="5">
        <f>AVERAGE(Raw_Triggers!J21,Raw_Triggers!L21)</f>
        <v>3.5550242583548473</v>
      </c>
      <c r="H21" s="5">
        <f t="shared" si="0"/>
        <v>168.8</v>
      </c>
      <c r="I21" s="5">
        <f t="shared" si="1"/>
        <v>2.5746780531542992</v>
      </c>
      <c r="J21" s="5">
        <f t="shared" si="2"/>
        <v>87.234250414924645</v>
      </c>
      <c r="K21" s="4" t="str">
        <f t="shared" si="3"/>
        <v>High</v>
      </c>
      <c r="L21" s="6">
        <f>Assumptions!$B$9</f>
        <v>70</v>
      </c>
      <c r="M21" s="6">
        <f t="shared" si="4"/>
        <v>17.234250414924645</v>
      </c>
      <c r="N21" s="6">
        <f t="shared" si="5"/>
        <v>19302.360464715603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3.8"/>
  <cols>
    <col min="1" max="1" width="6.3984375" customWidth="1"/>
    <col min="2" max="2" width="9.09765625" customWidth="1"/>
    <col min="3" max="3" width="15" customWidth="1"/>
    <col min="4" max="5" width="14.5" customWidth="1"/>
    <col min="6" max="6" width="11.3984375" customWidth="1"/>
    <col min="7" max="7" width="17.5" customWidth="1"/>
    <col min="8" max="8" width="27.3984375" customWidth="1"/>
    <col min="9" max="9" width="21.09765625" customWidth="1"/>
  </cols>
  <sheetData>
    <row r="1" spans="1:9" ht="27.6">
      <c r="A1" s="2" t="s">
        <v>30</v>
      </c>
      <c r="B1" s="2" t="s">
        <v>31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>
      <c r="A2">
        <v>2011</v>
      </c>
      <c r="B2" t="s">
        <v>43</v>
      </c>
      <c r="C2" s="7">
        <v>5872.57</v>
      </c>
      <c r="D2" s="7">
        <v>13044.98</v>
      </c>
      <c r="E2" s="7">
        <v>68.510000000000005</v>
      </c>
      <c r="F2" s="7">
        <v>21466283</v>
      </c>
      <c r="G2" s="7">
        <v>102.8</v>
      </c>
      <c r="H2" s="7" t="s">
        <v>63</v>
      </c>
      <c r="I2" s="7">
        <v>4.9599999999999998E-2</v>
      </c>
    </row>
    <row r="3" spans="1:9">
      <c r="A3">
        <v>2011</v>
      </c>
      <c r="B3" t="s">
        <v>42</v>
      </c>
      <c r="C3" s="7">
        <v>50944.4</v>
      </c>
      <c r="D3" s="7">
        <v>35364.089999999997</v>
      </c>
      <c r="E3" s="7">
        <v>94.08</v>
      </c>
      <c r="F3" s="7">
        <v>4719607</v>
      </c>
      <c r="G3" s="7">
        <v>48.5</v>
      </c>
      <c r="H3" s="7" t="s">
        <v>63</v>
      </c>
      <c r="I3" s="7">
        <v>0.1037</v>
      </c>
    </row>
    <row r="4" spans="1:9">
      <c r="A4">
        <v>2012</v>
      </c>
      <c r="B4" t="s">
        <v>43</v>
      </c>
      <c r="C4" s="7">
        <v>6830.67</v>
      </c>
      <c r="D4" s="7">
        <v>13836.06</v>
      </c>
      <c r="E4" s="7">
        <v>73.92</v>
      </c>
      <c r="F4" s="7">
        <v>21572541</v>
      </c>
      <c r="G4" s="7">
        <v>103.3</v>
      </c>
      <c r="H4" s="7">
        <v>354.33</v>
      </c>
      <c r="I4" s="7">
        <v>1.5299999999999999E-2</v>
      </c>
    </row>
    <row r="5" spans="1:9">
      <c r="A5">
        <v>2012</v>
      </c>
      <c r="B5" t="s">
        <v>42</v>
      </c>
      <c r="C5" s="7">
        <v>51687.99</v>
      </c>
      <c r="D5" s="7">
        <v>37486.51</v>
      </c>
      <c r="E5" s="7">
        <v>95.11</v>
      </c>
      <c r="F5" s="7">
        <v>4757367</v>
      </c>
      <c r="G5" s="7">
        <v>48.89</v>
      </c>
      <c r="H5" s="7">
        <v>4845.2299999999996</v>
      </c>
      <c r="I5" s="7">
        <v>9.9699999999999997E-2</v>
      </c>
    </row>
    <row r="6" spans="1:9">
      <c r="A6">
        <v>2013</v>
      </c>
      <c r="B6" t="s">
        <v>43</v>
      </c>
      <c r="C6" s="7">
        <v>7014.87</v>
      </c>
      <c r="D6" s="7">
        <v>14252.52</v>
      </c>
      <c r="E6" s="7">
        <v>78.84</v>
      </c>
      <c r="F6" s="7">
        <v>21685510</v>
      </c>
      <c r="G6" s="7">
        <v>103.85</v>
      </c>
      <c r="H6" s="7">
        <v>374.62</v>
      </c>
      <c r="I6" s="7">
        <v>1.4999999999999999E-2</v>
      </c>
    </row>
    <row r="7" spans="1:9">
      <c r="A7">
        <v>2013</v>
      </c>
      <c r="B7" t="s">
        <v>42</v>
      </c>
      <c r="C7" s="7">
        <v>53451.96</v>
      </c>
      <c r="D7" s="7">
        <v>38473.99</v>
      </c>
      <c r="E7" s="7">
        <v>96.85</v>
      </c>
      <c r="F7" s="7">
        <v>4796557</v>
      </c>
      <c r="G7" s="7">
        <v>49.29</v>
      </c>
      <c r="H7" s="7">
        <v>4997.79</v>
      </c>
      <c r="I7" s="7">
        <v>0.1091</v>
      </c>
    </row>
    <row r="8" spans="1:9">
      <c r="A8">
        <v>2014</v>
      </c>
      <c r="B8" t="s">
        <v>43</v>
      </c>
      <c r="C8" s="7">
        <v>7294.23</v>
      </c>
      <c r="D8" s="7">
        <v>14865.17</v>
      </c>
      <c r="E8" s="7">
        <v>85.63</v>
      </c>
      <c r="F8" s="7">
        <v>21798094</v>
      </c>
      <c r="G8" s="7">
        <v>104.39</v>
      </c>
      <c r="H8" s="7">
        <v>482.88</v>
      </c>
      <c r="I8" s="7">
        <v>2.5499999999999998E-2</v>
      </c>
    </row>
    <row r="9" spans="1:9">
      <c r="A9">
        <v>2014</v>
      </c>
      <c r="B9" t="s">
        <v>42</v>
      </c>
      <c r="C9" s="7">
        <v>53920.15</v>
      </c>
      <c r="D9" s="7">
        <v>38516.61</v>
      </c>
      <c r="E9" s="7">
        <v>98.39</v>
      </c>
      <c r="F9" s="7">
        <v>4838846</v>
      </c>
      <c r="G9" s="7">
        <v>49.73</v>
      </c>
      <c r="H9" s="7">
        <v>5051</v>
      </c>
      <c r="I9" s="7">
        <v>0.1105</v>
      </c>
    </row>
    <row r="10" spans="1:9">
      <c r="A10">
        <v>2015</v>
      </c>
      <c r="B10" t="s">
        <v>43</v>
      </c>
      <c r="C10" s="7">
        <v>7429.09</v>
      </c>
      <c r="D10" s="7">
        <v>15185.9</v>
      </c>
      <c r="E10" s="7">
        <v>91.21</v>
      </c>
      <c r="F10" s="7">
        <v>21921299</v>
      </c>
      <c r="G10" s="7">
        <v>104.97</v>
      </c>
      <c r="H10" s="7">
        <v>504.45</v>
      </c>
      <c r="I10" s="7">
        <v>2.2700000000000001E-2</v>
      </c>
    </row>
    <row r="11" spans="1:9">
      <c r="A11">
        <v>2015</v>
      </c>
      <c r="B11" t="s">
        <v>42</v>
      </c>
      <c r="C11" s="7">
        <v>55000.5</v>
      </c>
      <c r="D11" s="7">
        <v>38988.050000000003</v>
      </c>
      <c r="E11" s="7">
        <v>99.36</v>
      </c>
      <c r="F11" s="7">
        <v>4886134</v>
      </c>
      <c r="G11" s="7">
        <v>50.22</v>
      </c>
      <c r="H11" s="7">
        <v>5152.58</v>
      </c>
      <c r="I11" s="7">
        <v>0.10680000000000001</v>
      </c>
    </row>
    <row r="12" spans="1:9">
      <c r="A12">
        <v>2016</v>
      </c>
      <c r="B12" t="s">
        <v>43</v>
      </c>
      <c r="C12" s="7">
        <v>7864.54</v>
      </c>
      <c r="D12" s="7">
        <v>16187.33</v>
      </c>
      <c r="E12" s="7">
        <v>100</v>
      </c>
      <c r="F12" s="7">
        <v>22038783</v>
      </c>
      <c r="G12" s="7">
        <v>105.54</v>
      </c>
      <c r="H12" s="7">
        <v>529.91</v>
      </c>
      <c r="I12" s="7">
        <v>2.3099999999999999E-2</v>
      </c>
    </row>
    <row r="13" spans="1:9">
      <c r="A13">
        <v>2016</v>
      </c>
      <c r="B13" t="s">
        <v>42</v>
      </c>
      <c r="C13" s="7">
        <v>58727.5</v>
      </c>
      <c r="D13" s="7">
        <v>41577.25</v>
      </c>
      <c r="E13" s="7">
        <v>100</v>
      </c>
      <c r="F13" s="7">
        <v>4935653</v>
      </c>
      <c r="G13" s="7">
        <v>50.72</v>
      </c>
      <c r="H13" s="7">
        <v>5414.8</v>
      </c>
      <c r="I13" s="7">
        <v>0.13919999999999999</v>
      </c>
    </row>
    <row r="14" spans="1:9">
      <c r="A14">
        <v>2017</v>
      </c>
      <c r="B14" t="s">
        <v>43</v>
      </c>
      <c r="C14" s="7">
        <v>8135.29</v>
      </c>
      <c r="D14" s="7">
        <v>16697.330000000002</v>
      </c>
      <c r="E14" s="7">
        <v>105.62</v>
      </c>
      <c r="F14" s="7">
        <v>22156566</v>
      </c>
      <c r="G14" s="7">
        <v>106.1</v>
      </c>
      <c r="H14" s="7">
        <v>557.70000000000005</v>
      </c>
      <c r="I14" s="7">
        <v>4.1599999999999998E-2</v>
      </c>
    </row>
    <row r="15" spans="1:9">
      <c r="A15">
        <v>2017</v>
      </c>
      <c r="B15" t="s">
        <v>42</v>
      </c>
      <c r="C15" s="7">
        <v>59948.83</v>
      </c>
      <c r="D15" s="7">
        <v>41720.75</v>
      </c>
      <c r="E15" s="7">
        <v>103.17</v>
      </c>
      <c r="F15" s="7">
        <v>4989994</v>
      </c>
      <c r="G15" s="7">
        <v>51.28</v>
      </c>
      <c r="H15" s="7">
        <v>5573.14</v>
      </c>
      <c r="I15" s="7">
        <v>0.1356</v>
      </c>
    </row>
    <row r="16" spans="1:9">
      <c r="A16">
        <v>2018</v>
      </c>
      <c r="B16" t="s">
        <v>43</v>
      </c>
      <c r="C16" s="7">
        <v>8663.68</v>
      </c>
      <c r="D16" s="7">
        <v>17732.330000000002</v>
      </c>
      <c r="E16" s="7">
        <v>112.42</v>
      </c>
      <c r="F16" s="7">
        <v>22274367</v>
      </c>
      <c r="G16" s="7">
        <v>106.67</v>
      </c>
      <c r="H16" s="7">
        <v>617.41999999999996</v>
      </c>
      <c r="I16" s="7">
        <v>2.7900000000000001E-2</v>
      </c>
    </row>
    <row r="17" spans="1:9">
      <c r="A17">
        <v>2018</v>
      </c>
      <c r="B17" t="s">
        <v>42</v>
      </c>
      <c r="C17" s="7">
        <v>62504.23</v>
      </c>
      <c r="D17" s="7">
        <v>42679.25</v>
      </c>
      <c r="E17" s="7">
        <v>104.46</v>
      </c>
      <c r="F17" s="7">
        <v>5042027</v>
      </c>
      <c r="G17" s="7">
        <v>51.82</v>
      </c>
      <c r="H17" s="7">
        <v>5767.14</v>
      </c>
      <c r="I17" s="7">
        <v>0.1449</v>
      </c>
    </row>
    <row r="18" spans="1:9">
      <c r="A18">
        <v>2019</v>
      </c>
      <c r="B18" t="s">
        <v>43</v>
      </c>
      <c r="C18" s="7">
        <v>9058.5400000000009</v>
      </c>
      <c r="D18" s="7">
        <v>18848.669999999998</v>
      </c>
      <c r="E18" s="7">
        <v>118.98</v>
      </c>
      <c r="F18" s="7">
        <v>22398994</v>
      </c>
      <c r="G18" s="7">
        <v>107.26</v>
      </c>
      <c r="H18" s="7">
        <v>666.68</v>
      </c>
      <c r="I18" s="7">
        <v>1.47E-2</v>
      </c>
    </row>
    <row r="19" spans="1:9">
      <c r="A19">
        <v>2019</v>
      </c>
      <c r="B19" t="s">
        <v>42</v>
      </c>
      <c r="C19" s="7">
        <v>63593.9</v>
      </c>
      <c r="D19" s="7">
        <v>44143.25</v>
      </c>
      <c r="E19" s="7">
        <v>105.86</v>
      </c>
      <c r="F19" s="7">
        <v>5088243</v>
      </c>
      <c r="G19" s="7">
        <v>52.29</v>
      </c>
      <c r="H19" s="7">
        <v>5814.01</v>
      </c>
      <c r="I19" s="7">
        <v>0.14699999999999999</v>
      </c>
    </row>
    <row r="20" spans="1:9">
      <c r="A20">
        <v>2020</v>
      </c>
      <c r="B20" t="s">
        <v>43</v>
      </c>
      <c r="C20" s="7">
        <v>9705.48</v>
      </c>
      <c r="D20" s="7">
        <v>20138.900000000001</v>
      </c>
      <c r="E20" s="7">
        <v>130.56</v>
      </c>
      <c r="F20" s="7">
        <v>22533810</v>
      </c>
      <c r="G20" s="7">
        <v>107.91</v>
      </c>
      <c r="H20" s="7">
        <v>706.55</v>
      </c>
      <c r="I20" s="7" t="s">
        <v>63</v>
      </c>
    </row>
    <row r="21" spans="1:9">
      <c r="A21">
        <v>2020</v>
      </c>
      <c r="B21" t="s">
        <v>42</v>
      </c>
      <c r="C21" s="7">
        <v>64865.73</v>
      </c>
      <c r="D21" s="7">
        <v>44210.48</v>
      </c>
      <c r="E21" s="7">
        <v>106.1</v>
      </c>
      <c r="F21" s="7">
        <v>5132634</v>
      </c>
      <c r="G21" s="7">
        <v>52.75</v>
      </c>
      <c r="H21" s="7">
        <v>5994.29</v>
      </c>
      <c r="I21" s="7">
        <v>0.1346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tabSelected="1" workbookViewId="0">
      <selection sqref="A1:C1"/>
    </sheetView>
  </sheetViews>
  <sheetFormatPr defaultRowHeight="13.8"/>
  <cols>
    <col min="1" max="1" width="32.59765625" customWidth="1"/>
    <col min="2" max="3" width="5.19921875" customWidth="1"/>
    <col min="5" max="5" width="29.59765625" customWidth="1"/>
    <col min="6" max="7" width="5.19921875" customWidth="1"/>
  </cols>
  <sheetData>
    <row r="1" spans="1:7">
      <c r="A1" s="10" t="s">
        <v>64</v>
      </c>
      <c r="B1" s="11"/>
      <c r="C1" s="11"/>
      <c r="E1" s="10" t="s">
        <v>65</v>
      </c>
      <c r="F1" s="11"/>
      <c r="G1" s="11"/>
    </row>
    <row r="2" spans="1:7">
      <c r="A2" t="s">
        <v>64</v>
      </c>
      <c r="E2" t="s">
        <v>65</v>
      </c>
    </row>
    <row r="3" spans="1:7">
      <c r="A3" t="s">
        <v>66</v>
      </c>
      <c r="E3" t="s">
        <v>66</v>
      </c>
    </row>
    <row r="4" spans="1:7">
      <c r="A4" t="s">
        <v>67</v>
      </c>
      <c r="E4" t="s">
        <v>67</v>
      </c>
    </row>
    <row r="5" spans="1:7">
      <c r="B5">
        <v>2020</v>
      </c>
      <c r="C5">
        <v>2019</v>
      </c>
      <c r="F5">
        <v>2020</v>
      </c>
      <c r="G5">
        <v>2019</v>
      </c>
    </row>
    <row r="7" spans="1:7">
      <c r="A7" t="s">
        <v>68</v>
      </c>
      <c r="E7" t="s">
        <v>69</v>
      </c>
    </row>
    <row r="8" spans="1:7">
      <c r="A8" t="s">
        <v>70</v>
      </c>
      <c r="B8">
        <v>14565</v>
      </c>
      <c r="C8">
        <v>14022</v>
      </c>
      <c r="E8" t="s">
        <v>71</v>
      </c>
      <c r="F8">
        <v>2891</v>
      </c>
      <c r="G8">
        <v>5351</v>
      </c>
    </row>
    <row r="9" spans="1:7">
      <c r="A9" t="s">
        <v>72</v>
      </c>
      <c r="B9">
        <v>1475</v>
      </c>
      <c r="C9">
        <v>1633</v>
      </c>
      <c r="E9" t="s">
        <v>73</v>
      </c>
      <c r="F9">
        <v>52264</v>
      </c>
      <c r="G9">
        <v>48089</v>
      </c>
    </row>
    <row r="10" spans="1:7">
      <c r="E10" t="s">
        <v>74</v>
      </c>
      <c r="F10">
        <v>17</v>
      </c>
      <c r="G10">
        <v>333</v>
      </c>
    </row>
    <row r="11" spans="1:7">
      <c r="A11" t="s">
        <v>75</v>
      </c>
      <c r="B11">
        <v>13090</v>
      </c>
      <c r="C11">
        <v>12389</v>
      </c>
      <c r="E11" t="s">
        <v>76</v>
      </c>
      <c r="F11">
        <v>978</v>
      </c>
      <c r="G11">
        <v>939</v>
      </c>
    </row>
    <row r="12" spans="1:7">
      <c r="A12" t="s">
        <v>77</v>
      </c>
      <c r="B12">
        <v>-448</v>
      </c>
      <c r="C12">
        <v>-407</v>
      </c>
      <c r="E12" t="s">
        <v>78</v>
      </c>
      <c r="F12">
        <v>7558</v>
      </c>
      <c r="G12">
        <v>7122</v>
      </c>
    </row>
    <row r="13" spans="1:7">
      <c r="E13" t="s">
        <v>79</v>
      </c>
      <c r="F13">
        <v>69</v>
      </c>
      <c r="G13">
        <v>85</v>
      </c>
    </row>
    <row r="14" spans="1:7">
      <c r="A14" t="s">
        <v>80</v>
      </c>
      <c r="B14">
        <v>12642</v>
      </c>
      <c r="C14">
        <v>11982</v>
      </c>
    </row>
    <row r="15" spans="1:7">
      <c r="F15">
        <v>63777</v>
      </c>
      <c r="G15">
        <v>61919</v>
      </c>
    </row>
    <row r="16" spans="1:7">
      <c r="A16" t="s">
        <v>81</v>
      </c>
    </row>
    <row r="17" spans="1:7">
      <c r="A17" t="s">
        <v>82</v>
      </c>
      <c r="B17">
        <v>5227</v>
      </c>
      <c r="C17">
        <v>4564</v>
      </c>
      <c r="E17" t="s">
        <v>83</v>
      </c>
    </row>
    <row r="18" spans="1:7">
      <c r="A18" t="s">
        <v>84</v>
      </c>
      <c r="B18">
        <v>1495</v>
      </c>
      <c r="C18">
        <v>956</v>
      </c>
      <c r="E18" t="s">
        <v>85</v>
      </c>
      <c r="F18">
        <v>79</v>
      </c>
      <c r="G18">
        <v>717</v>
      </c>
    </row>
    <row r="19" spans="1:7">
      <c r="A19" t="s">
        <v>86</v>
      </c>
      <c r="B19">
        <v>1318</v>
      </c>
      <c r="C19">
        <v>1237</v>
      </c>
      <c r="E19" t="s">
        <v>87</v>
      </c>
      <c r="F19">
        <v>7454</v>
      </c>
      <c r="G19">
        <v>6996</v>
      </c>
    </row>
    <row r="20" spans="1:7">
      <c r="A20" t="s">
        <v>88</v>
      </c>
      <c r="B20">
        <v>1511</v>
      </c>
      <c r="C20">
        <v>1076</v>
      </c>
      <c r="E20" t="s">
        <v>89</v>
      </c>
      <c r="F20">
        <v>16651</v>
      </c>
      <c r="G20">
        <v>17839</v>
      </c>
    </row>
    <row r="21" spans="1:7">
      <c r="A21" t="s">
        <v>90</v>
      </c>
      <c r="B21">
        <v>145</v>
      </c>
      <c r="C21">
        <v>41</v>
      </c>
    </row>
    <row r="22" spans="1:7">
      <c r="A22" t="s">
        <v>91</v>
      </c>
      <c r="B22">
        <v>62</v>
      </c>
      <c r="C22">
        <v>83</v>
      </c>
      <c r="F22">
        <v>24184</v>
      </c>
      <c r="G22">
        <v>25552</v>
      </c>
    </row>
    <row r="23" spans="1:7">
      <c r="A23" t="s">
        <v>92</v>
      </c>
      <c r="B23">
        <v>1183</v>
      </c>
      <c r="C23">
        <v>1000</v>
      </c>
    </row>
    <row r="24" spans="1:7">
      <c r="E24" t="s">
        <v>93</v>
      </c>
      <c r="F24">
        <v>39593</v>
      </c>
      <c r="G24">
        <v>36367</v>
      </c>
    </row>
    <row r="25" spans="1:7">
      <c r="B25">
        <v>10941</v>
      </c>
      <c r="C25">
        <v>8957</v>
      </c>
    </row>
    <row r="26" spans="1:7">
      <c r="E26" t="s">
        <v>94</v>
      </c>
      <c r="F26">
        <v>63777</v>
      </c>
      <c r="G26">
        <v>61919</v>
      </c>
    </row>
    <row r="27" spans="1:7">
      <c r="A27" t="s">
        <v>95</v>
      </c>
      <c r="B27">
        <v>1701</v>
      </c>
      <c r="C27">
        <v>3025</v>
      </c>
    </row>
    <row r="29" spans="1:7">
      <c r="A29" t="s">
        <v>96</v>
      </c>
    </row>
    <row r="30" spans="1:7">
      <c r="A30" t="s">
        <v>97</v>
      </c>
      <c r="B30">
        <v>3272</v>
      </c>
      <c r="C30">
        <v>2778</v>
      </c>
    </row>
    <row r="31" spans="1:7">
      <c r="A31" t="s">
        <v>98</v>
      </c>
      <c r="B31">
        <v>155</v>
      </c>
      <c r="C31">
        <v>7</v>
      </c>
    </row>
    <row r="33" spans="1:3">
      <c r="B33">
        <v>3427</v>
      </c>
      <c r="C33">
        <v>2785</v>
      </c>
    </row>
    <row r="35" spans="1:3">
      <c r="A35" t="s">
        <v>99</v>
      </c>
      <c r="B35">
        <v>5128</v>
      </c>
      <c r="C35">
        <v>5810</v>
      </c>
    </row>
    <row r="37" spans="1:3">
      <c r="A37" t="s">
        <v>100</v>
      </c>
      <c r="B37">
        <v>-1313</v>
      </c>
      <c r="C37">
        <v>-1488</v>
      </c>
    </row>
    <row r="39" spans="1:3">
      <c r="A39" t="s">
        <v>101</v>
      </c>
      <c r="B39">
        <v>3815</v>
      </c>
      <c r="C39">
        <v>4322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defaultRowHeight="13.8"/>
  <cols>
    <col min="1" max="1" width="49" customWidth="1"/>
    <col min="2" max="2" width="32.3984375" customWidth="1"/>
    <col min="3" max="3" width="14.3984375" customWidth="1"/>
    <col min="4" max="4" width="82.5" customWidth="1"/>
  </cols>
  <sheetData>
    <row r="1" spans="1:4" ht="14.4">
      <c r="A1" s="12" t="s">
        <v>102</v>
      </c>
      <c r="B1" s="13"/>
      <c r="C1" s="13"/>
      <c r="D1" s="13"/>
    </row>
    <row r="3" spans="1:4">
      <c r="A3" s="2" t="s">
        <v>103</v>
      </c>
      <c r="B3" s="2" t="s">
        <v>104</v>
      </c>
      <c r="C3" s="2" t="s">
        <v>1</v>
      </c>
      <c r="D3" s="2" t="s">
        <v>105</v>
      </c>
    </row>
    <row r="4" spans="1:4">
      <c r="A4" t="s">
        <v>106</v>
      </c>
      <c r="B4" t="s">
        <v>107</v>
      </c>
      <c r="C4" t="s">
        <v>108</v>
      </c>
      <c r="D4" t="s">
        <v>109</v>
      </c>
    </row>
    <row r="5" spans="1:4">
      <c r="A5" t="s">
        <v>110</v>
      </c>
      <c r="B5" t="s">
        <v>111</v>
      </c>
      <c r="C5" t="s">
        <v>112</v>
      </c>
      <c r="D5" t="s">
        <v>113</v>
      </c>
    </row>
    <row r="6" spans="1:4">
      <c r="A6" t="s">
        <v>114</v>
      </c>
      <c r="B6" t="s">
        <v>115</v>
      </c>
      <c r="C6" t="s">
        <v>116</v>
      </c>
      <c r="D6" t="s">
        <v>117</v>
      </c>
    </row>
    <row r="7" spans="1:4">
      <c r="A7" t="s">
        <v>118</v>
      </c>
      <c r="B7" t="s">
        <v>119</v>
      </c>
      <c r="C7" t="s">
        <v>120</v>
      </c>
      <c r="D7" t="s">
        <v>121</v>
      </c>
    </row>
    <row r="8" spans="1:4">
      <c r="A8" t="s">
        <v>122</v>
      </c>
      <c r="B8">
        <v>1120</v>
      </c>
      <c r="C8" t="s">
        <v>123</v>
      </c>
      <c r="D8" t="s">
        <v>124</v>
      </c>
    </row>
    <row r="9" spans="1:4">
      <c r="A9" t="s">
        <v>125</v>
      </c>
      <c r="B9">
        <v>70</v>
      </c>
      <c r="C9" t="s">
        <v>126</v>
      </c>
      <c r="D9" t="s">
        <v>127</v>
      </c>
    </row>
    <row r="10" spans="1:4">
      <c r="A10" t="s">
        <v>128</v>
      </c>
      <c r="B10" t="s">
        <v>129</v>
      </c>
      <c r="C10" t="s">
        <v>130</v>
      </c>
      <c r="D10" t="s">
        <v>131</v>
      </c>
    </row>
    <row r="11" spans="1:4">
      <c r="A11" t="s">
        <v>132</v>
      </c>
      <c r="B11" t="s">
        <v>133</v>
      </c>
      <c r="C11" t="s">
        <v>134</v>
      </c>
      <c r="D11" t="s">
        <v>135</v>
      </c>
    </row>
    <row r="12" spans="1:4">
      <c r="A12" t="s">
        <v>136</v>
      </c>
      <c r="B12" t="s">
        <v>137</v>
      </c>
      <c r="C12" t="s">
        <v>138</v>
      </c>
      <c r="D12" t="s">
        <v>139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/>
  </sheetViews>
  <sheetFormatPr defaultRowHeight="13.8"/>
  <cols>
    <col min="1" max="1" width="25.69921875" customWidth="1"/>
    <col min="2" max="2" width="8" customWidth="1"/>
    <col min="3" max="3" width="11.8984375" customWidth="1"/>
    <col min="4" max="4" width="10.3984375" customWidth="1"/>
    <col min="5" max="5" width="13.59765625" customWidth="1"/>
    <col min="7" max="7" width="14.59765625" customWidth="1"/>
    <col min="8" max="8" width="47.69921875" customWidth="1"/>
    <col min="9" max="9" width="10.3984375" customWidth="1"/>
    <col min="10" max="10" width="13.59765625" customWidth="1"/>
  </cols>
  <sheetData>
    <row r="1" spans="1:10" ht="14.4">
      <c r="A1" s="14" t="s">
        <v>140</v>
      </c>
      <c r="B1" s="13"/>
      <c r="C1" s="13"/>
      <c r="D1" s="13"/>
      <c r="E1" s="13"/>
      <c r="F1" s="4"/>
      <c r="G1" s="4"/>
      <c r="H1" s="4"/>
      <c r="I1" s="4"/>
      <c r="J1" s="4"/>
    </row>
    <row r="3" spans="1:10" ht="27.6">
      <c r="A3" s="2" t="s">
        <v>30</v>
      </c>
      <c r="B3" s="2" t="s">
        <v>31</v>
      </c>
      <c r="C3" s="2" t="s">
        <v>49</v>
      </c>
      <c r="D3" s="2" t="s">
        <v>46</v>
      </c>
      <c r="E3" s="2" t="s">
        <v>50</v>
      </c>
      <c r="G3" s="2" t="s">
        <v>141</v>
      </c>
      <c r="H3" s="2" t="s">
        <v>49</v>
      </c>
      <c r="I3" s="2" t="s">
        <v>46</v>
      </c>
      <c r="J3" s="2" t="s">
        <v>50</v>
      </c>
    </row>
    <row r="4" spans="1:10">
      <c r="A4">
        <f>Model_Input!A2</f>
        <v>2011</v>
      </c>
      <c r="B4" t="str">
        <f>Model_Input!B2</f>
        <v>Ambernϊa</v>
      </c>
      <c r="C4">
        <f>Model_Input!H2</f>
        <v>164.17500000000001</v>
      </c>
      <c r="D4">
        <f>Model_Input!E2</f>
        <v>5.1650000000000001E-2</v>
      </c>
      <c r="E4">
        <f>Model_Input!I2</f>
        <v>2.5043422264619526</v>
      </c>
      <c r="G4" s="2" t="s">
        <v>49</v>
      </c>
      <c r="H4">
        <f>CORREL($C$4:$C$23,$C$4:$C$23)</f>
        <v>1</v>
      </c>
      <c r="I4">
        <f>CORREL($C$4:$C$23,$D$4:$D$23)</f>
        <v>0.94787609390249905</v>
      </c>
      <c r="J4">
        <f>CORREL($C$4:$C$23,$E$4:$E$23)</f>
        <v>0.96904459427573253</v>
      </c>
    </row>
    <row r="5" spans="1:10">
      <c r="A5">
        <f>Model_Input!A3</f>
        <v>2011</v>
      </c>
      <c r="B5" t="str">
        <f>Model_Input!B3</f>
        <v>Palȍmϊnϊa</v>
      </c>
      <c r="C5">
        <f>Model_Input!H3</f>
        <v>169.57499999999999</v>
      </c>
      <c r="D5">
        <f>Model_Input!E3</f>
        <v>7.0750000000000007E-2</v>
      </c>
      <c r="E5">
        <f>Model_Input!I3</f>
        <v>2.7259212295852229</v>
      </c>
      <c r="G5" s="2" t="s">
        <v>46</v>
      </c>
      <c r="H5">
        <f>CORREL($D$4:$D$23,$C$4:$C$23)</f>
        <v>0.94787609390249905</v>
      </c>
      <c r="I5">
        <f>CORREL($D$4:$D$23,$D$4:$D$23)</f>
        <v>1.0000000000000002</v>
      </c>
      <c r="J5">
        <f>CORREL($D$4:$D$23,$E$4:$E$23)</f>
        <v>0.84029005162232628</v>
      </c>
    </row>
    <row r="6" spans="1:10" ht="27.6">
      <c r="A6">
        <f>Model_Input!A4</f>
        <v>2012</v>
      </c>
      <c r="B6" t="str">
        <f>Model_Input!B4</f>
        <v>Ambernϊa</v>
      </c>
      <c r="C6">
        <f>Model_Input!H4</f>
        <v>163.85</v>
      </c>
      <c r="D6">
        <f>Model_Input!E4</f>
        <v>5.16E-2</v>
      </c>
      <c r="E6">
        <f>Model_Input!I4</f>
        <v>2.4758708028078509</v>
      </c>
      <c r="G6" s="2" t="s">
        <v>50</v>
      </c>
      <c r="H6">
        <f>CORREL($E$4:$E$23,$C$4:$C$23)</f>
        <v>0.96904459427573253</v>
      </c>
      <c r="I6">
        <f>CORREL($E$4:$E$23,$D$4:$D$23)</f>
        <v>0.84029005162232628</v>
      </c>
      <c r="J6">
        <f>CORREL($E$4:$E$23,$E$4:$E$23)</f>
        <v>0.99999999999999989</v>
      </c>
    </row>
    <row r="7" spans="1:10">
      <c r="A7">
        <f>Model_Input!A5</f>
        <v>2012</v>
      </c>
      <c r="B7" t="str">
        <f>Model_Input!B5</f>
        <v>Palȍmϊnϊa</v>
      </c>
      <c r="C7">
        <f>Model_Input!H5</f>
        <v>169.5</v>
      </c>
      <c r="D7">
        <f>Model_Input!E5</f>
        <v>7.195E-2</v>
      </c>
      <c r="E7">
        <f>Model_Input!I5</f>
        <v>2.7111296779786187</v>
      </c>
    </row>
    <row r="8" spans="1:10">
      <c r="A8">
        <f>Model_Input!A6</f>
        <v>2013</v>
      </c>
      <c r="B8" t="str">
        <f>Model_Input!B6</f>
        <v>Ambernϊa</v>
      </c>
      <c r="C8">
        <f>Model_Input!H6</f>
        <v>163.42500000000001</v>
      </c>
      <c r="D8">
        <f>Model_Input!E6</f>
        <v>5.1500000000000004E-2</v>
      </c>
      <c r="E8">
        <f>Model_Input!I6</f>
        <v>2.4471112565499347</v>
      </c>
    </row>
    <row r="9" spans="1:10">
      <c r="A9">
        <f>Model_Input!A7</f>
        <v>2013</v>
      </c>
      <c r="B9" t="str">
        <f>Model_Input!B7</f>
        <v>Palȍmϊnϊa</v>
      </c>
      <c r="C9">
        <f>Model_Input!H7</f>
        <v>169.45000000000002</v>
      </c>
      <c r="D9">
        <f>Model_Input!E7</f>
        <v>7.3200000000000001E-2</v>
      </c>
      <c r="E9">
        <f>Model_Input!I7</f>
        <v>2.6960292904179162</v>
      </c>
      <c r="G9" t="s">
        <v>142</v>
      </c>
      <c r="H9" t="s">
        <v>143</v>
      </c>
    </row>
    <row r="10" spans="1:10">
      <c r="A10">
        <f>Model_Input!A8</f>
        <v>2014</v>
      </c>
      <c r="B10" t="str">
        <f>Model_Input!B8</f>
        <v>Ambernϊa</v>
      </c>
      <c r="C10">
        <f>Model_Input!H8</f>
        <v>163.07499999999999</v>
      </c>
      <c r="D10">
        <f>Model_Input!E8</f>
        <v>5.1449999999999996E-2</v>
      </c>
      <c r="E10">
        <f>Model_Input!I8</f>
        <v>2.4177462631437026</v>
      </c>
      <c r="H10" t="s">
        <v>144</v>
      </c>
    </row>
    <row r="11" spans="1:10">
      <c r="A11">
        <f>Model_Input!A9</f>
        <v>2014</v>
      </c>
      <c r="B11" t="str">
        <f>Model_Input!B9</f>
        <v>Palȍmϊnϊa</v>
      </c>
      <c r="C11">
        <f>Model_Input!H9</f>
        <v>169.35</v>
      </c>
      <c r="D11">
        <f>Model_Input!E9</f>
        <v>7.4399999999999994E-2</v>
      </c>
      <c r="E11">
        <f>Model_Input!I9</f>
        <v>2.6803925732103919</v>
      </c>
      <c r="H11" t="s">
        <v>145</v>
      </c>
    </row>
    <row r="12" spans="1:10">
      <c r="A12">
        <f>Model_Input!A10</f>
        <v>2015</v>
      </c>
      <c r="B12" t="str">
        <f>Model_Input!B10</f>
        <v>Ambernϊa</v>
      </c>
      <c r="C12">
        <f>Model_Input!H10</f>
        <v>162.72500000000002</v>
      </c>
      <c r="D12">
        <f>Model_Input!E10</f>
        <v>5.1299999999999998E-2</v>
      </c>
      <c r="E12">
        <f>Model_Input!I10</f>
        <v>2.3878830363969459</v>
      </c>
      <c r="H12" t="s">
        <v>146</v>
      </c>
    </row>
    <row r="13" spans="1:10">
      <c r="A13">
        <f>Model_Input!A11</f>
        <v>2015</v>
      </c>
      <c r="B13" t="str">
        <f>Model_Input!B11</f>
        <v>Palȍmϊnϊa</v>
      </c>
      <c r="C13">
        <f>Model_Input!H11</f>
        <v>169.27500000000001</v>
      </c>
      <c r="D13">
        <f>Model_Input!E11</f>
        <v>7.5550000000000006E-2</v>
      </c>
      <c r="E13">
        <f>Model_Input!I11</f>
        <v>2.6641244420456749</v>
      </c>
      <c r="H13" t="s">
        <v>147</v>
      </c>
    </row>
    <row r="14" spans="1:10">
      <c r="A14">
        <f>Model_Input!A12</f>
        <v>2016</v>
      </c>
      <c r="B14" t="str">
        <f>Model_Input!B12</f>
        <v>Ambernϊa</v>
      </c>
      <c r="C14">
        <f>Model_Input!H12</f>
        <v>162.30000000000001</v>
      </c>
      <c r="D14">
        <f>Model_Input!E12</f>
        <v>5.1249999999999997E-2</v>
      </c>
      <c r="E14">
        <f>Model_Input!I12</f>
        <v>2.3576795904481109</v>
      </c>
    </row>
    <row r="15" spans="1:10">
      <c r="A15">
        <f>Model_Input!A13</f>
        <v>2016</v>
      </c>
      <c r="B15" t="str">
        <f>Model_Input!B13</f>
        <v>Palȍmϊnϊa</v>
      </c>
      <c r="C15">
        <f>Model_Input!H13</f>
        <v>169.17500000000001</v>
      </c>
      <c r="D15">
        <f>Model_Input!E13</f>
        <v>7.6749999999999999E-2</v>
      </c>
      <c r="E15">
        <f>Model_Input!I13</f>
        <v>2.6472738786874479</v>
      </c>
    </row>
    <row r="16" spans="1:10">
      <c r="A16">
        <f>Model_Input!A14</f>
        <v>2017</v>
      </c>
      <c r="B16" t="str">
        <f>Model_Input!B14</f>
        <v>Ambernϊa</v>
      </c>
      <c r="C16">
        <f>Model_Input!H14</f>
        <v>161.94999999999999</v>
      </c>
      <c r="D16">
        <f>Model_Input!E14</f>
        <v>5.1199999999999996E-2</v>
      </c>
      <c r="E16">
        <f>Model_Input!I14</f>
        <v>2.3271627345460226</v>
      </c>
    </row>
    <row r="17" spans="1:5">
      <c r="A17">
        <f>Model_Input!A15</f>
        <v>2017</v>
      </c>
      <c r="B17" t="str">
        <f>Model_Input!B15</f>
        <v>Palȍmϊnϊa</v>
      </c>
      <c r="C17">
        <f>Model_Input!H15</f>
        <v>169.125</v>
      </c>
      <c r="D17">
        <f>Model_Input!E15</f>
        <v>7.7950000000000005E-2</v>
      </c>
      <c r="E17">
        <f>Model_Input!I15</f>
        <v>2.6299375325621073</v>
      </c>
    </row>
    <row r="18" spans="1:5">
      <c r="A18">
        <f>Model_Input!A16</f>
        <v>2018</v>
      </c>
      <c r="B18" t="str">
        <f>Model_Input!B16</f>
        <v>Ambernϊa</v>
      </c>
      <c r="C18">
        <f>Model_Input!H16</f>
        <v>161.6</v>
      </c>
      <c r="D18">
        <f>Model_Input!E16</f>
        <v>5.1150000000000001E-2</v>
      </c>
      <c r="E18">
        <f>Model_Input!I16</f>
        <v>2.2965472250210439</v>
      </c>
    </row>
    <row r="19" spans="1:5">
      <c r="A19">
        <f>Model_Input!A17</f>
        <v>2018</v>
      </c>
      <c r="B19" t="str">
        <f>Model_Input!B17</f>
        <v>Palȍmϊnϊa</v>
      </c>
      <c r="C19">
        <f>Model_Input!H17</f>
        <v>169.05</v>
      </c>
      <c r="D19">
        <f>Model_Input!E17</f>
        <v>7.9149999999999998E-2</v>
      </c>
      <c r="E19">
        <f>Model_Input!I17</f>
        <v>2.6120072308610349</v>
      </c>
    </row>
    <row r="20" spans="1:5">
      <c r="A20">
        <f>Model_Input!A18</f>
        <v>2019</v>
      </c>
      <c r="B20" t="str">
        <f>Model_Input!B18</f>
        <v>Ambernϊa</v>
      </c>
      <c r="C20">
        <f>Model_Input!H18</f>
        <v>161.19999999999999</v>
      </c>
      <c r="D20">
        <f>Model_Input!E18</f>
        <v>5.1200000000000002E-2</v>
      </c>
      <c r="E20">
        <f>Model_Input!I18</f>
        <v>2.2658078596694158</v>
      </c>
    </row>
    <row r="21" spans="1:5">
      <c r="A21">
        <f>Model_Input!A19</f>
        <v>2019</v>
      </c>
      <c r="B21" t="str">
        <f>Model_Input!B19</f>
        <v>Palȍmϊnϊa</v>
      </c>
      <c r="C21">
        <f>Model_Input!H19</f>
        <v>168.95</v>
      </c>
      <c r="D21">
        <f>Model_Input!E19</f>
        <v>8.0399999999999999E-2</v>
      </c>
      <c r="E21">
        <f>Model_Input!I19</f>
        <v>2.5935328284597103</v>
      </c>
    </row>
    <row r="22" spans="1:5">
      <c r="A22">
        <f>Model_Input!A20</f>
        <v>2020</v>
      </c>
      <c r="B22" t="str">
        <f>Model_Input!B20</f>
        <v>Ambernϊa</v>
      </c>
      <c r="C22">
        <f>Model_Input!H20</f>
        <v>160.77500000000001</v>
      </c>
      <c r="D22">
        <f>Model_Input!E20</f>
        <v>5.1299999999999998E-2</v>
      </c>
      <c r="E22">
        <f>Model_Input!I20</f>
        <v>2.2350325202865209</v>
      </c>
    </row>
    <row r="23" spans="1:5">
      <c r="A23">
        <f>Model_Input!A21</f>
        <v>2020</v>
      </c>
      <c r="B23" t="str">
        <f>Model_Input!B21</f>
        <v>Palȍmϊnϊa</v>
      </c>
      <c r="C23">
        <f>Model_Input!H21</f>
        <v>168.8</v>
      </c>
      <c r="D23">
        <f>Model_Input!E21</f>
        <v>8.165E-2</v>
      </c>
      <c r="E23">
        <f>Model_Input!I21</f>
        <v>2.5746780531542992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Raw_Triggers</vt:lpstr>
      <vt:lpstr>Model_Input</vt:lpstr>
      <vt:lpstr>Economic_Market_Data</vt:lpstr>
      <vt:lpstr>NEW_WORLD_Financials</vt:lpstr>
      <vt:lpstr>Assumptions</vt:lpstr>
      <vt:lpstr>Correlation_PCA_Input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Nguyễn</cp:lastModifiedBy>
  <dcterms:modified xsi:type="dcterms:W3CDTF">2026-06-21T08:21:59Z</dcterms:modified>
</cp:coreProperties>
</file>